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30075100-930F-46AB-B2F6-5D74E652D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3" l="1"/>
  <c r="D34" i="3"/>
  <c r="C34" i="3"/>
  <c r="B34" i="3"/>
  <c r="P210" i="3"/>
  <c r="O210" i="3"/>
  <c r="P207" i="3"/>
  <c r="O207" i="3"/>
  <c r="P204" i="3"/>
  <c r="O204" i="3"/>
  <c r="P202" i="3"/>
  <c r="O202" i="3"/>
  <c r="P200" i="3"/>
  <c r="O200" i="3"/>
  <c r="P192" i="3"/>
  <c r="O192" i="3"/>
  <c r="P189" i="3"/>
  <c r="O189" i="3"/>
  <c r="P177" i="3"/>
  <c r="O177" i="3"/>
  <c r="P167" i="3"/>
  <c r="O167" i="3"/>
  <c r="P159" i="3"/>
  <c r="O159" i="3"/>
  <c r="P138" i="3"/>
  <c r="O138" i="3"/>
  <c r="P126" i="3"/>
  <c r="O126" i="3"/>
  <c r="P123" i="3"/>
  <c r="O123" i="3"/>
  <c r="P113" i="3"/>
  <c r="O113" i="3"/>
  <c r="P104" i="3"/>
  <c r="O104" i="3"/>
  <c r="P79" i="3"/>
  <c r="O79" i="3"/>
  <c r="P74" i="3"/>
  <c r="O74" i="3"/>
  <c r="P63" i="3"/>
  <c r="O63" i="3"/>
  <c r="P48" i="3"/>
  <c r="O48" i="3"/>
  <c r="P39" i="3"/>
  <c r="O39" i="3"/>
  <c r="P30" i="3"/>
  <c r="O30" i="3"/>
  <c r="P27" i="3"/>
  <c r="O27" i="3"/>
  <c r="P19" i="3"/>
  <c r="O19" i="3"/>
  <c r="P17" i="3"/>
  <c r="O17" i="3"/>
  <c r="P15" i="3"/>
  <c r="O15" i="3"/>
  <c r="P13" i="3"/>
  <c r="O13" i="3"/>
  <c r="P11" i="3"/>
  <c r="O11" i="3"/>
  <c r="P9" i="3"/>
  <c r="O9" i="3"/>
  <c r="P7" i="3"/>
  <c r="O7" i="3"/>
  <c r="P5" i="3"/>
  <c r="O5" i="3"/>
  <c r="P3" i="3"/>
  <c r="P211" i="3" s="1"/>
  <c r="O3" i="3"/>
  <c r="O211" i="3" s="1"/>
  <c r="A241" i="1"/>
  <c r="AA446" i="3"/>
  <c r="Y446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Y728" i="3"/>
  <c r="AX728" i="3"/>
  <c r="AY723" i="3"/>
  <c r="AX723" i="3"/>
  <c r="AY721" i="3"/>
  <c r="AX721" i="3"/>
  <c r="AY707" i="3"/>
  <c r="AX707" i="3"/>
  <c r="AY689" i="3"/>
  <c r="AX689" i="3"/>
  <c r="AY678" i="3"/>
  <c r="AX678" i="3"/>
  <c r="AY644" i="3"/>
  <c r="AX644" i="3"/>
  <c r="AY631" i="3"/>
  <c r="AX631" i="3"/>
  <c r="AY593" i="3"/>
  <c r="AX593" i="3"/>
  <c r="AY584" i="3"/>
  <c r="AX584" i="3"/>
  <c r="AY570" i="3"/>
  <c r="AX570" i="3"/>
  <c r="AY537" i="3"/>
  <c r="AX537" i="3"/>
  <c r="AY484" i="3"/>
  <c r="AX484" i="3"/>
  <c r="AY472" i="3"/>
  <c r="AX472" i="3"/>
  <c r="AY449" i="3"/>
  <c r="AX449" i="3"/>
  <c r="AY434" i="3"/>
  <c r="AX434" i="3"/>
  <c r="AY410" i="3"/>
  <c r="AX410" i="3"/>
  <c r="AY392" i="3"/>
  <c r="AX392" i="3"/>
  <c r="AY372" i="3"/>
  <c r="AX372" i="3"/>
  <c r="AY358" i="3"/>
  <c r="AX358" i="3"/>
  <c r="AY349" i="3"/>
  <c r="AX349" i="3"/>
  <c r="AY275" i="3"/>
  <c r="AX275" i="3"/>
  <c r="B61" i="1"/>
  <c r="A151" i="1"/>
  <c r="AB43" i="1"/>
  <c r="AX729" i="3" l="1"/>
  <c r="AY729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<sst xmlns="http://schemas.openxmlformats.org/spreadsheetml/2006/main" count="2853" uniqueCount="417">
  <si>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</si>
  <si>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</si>
  <si>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</si>
  <si>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</si>
  <si>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</si>
  <si>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</si>
  <si>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</si>
  <si>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</si>
  <si>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</si>
  <si>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</si>
  <si>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</si>
  <si>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</si>
  <si>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</si>
  <si>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</si>
  <si>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</si>
  <si>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</si>
  <si>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</si>
  <si>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</si>
  <si>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</si>
  <si>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</si>
  <si>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</si>
  <si>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</si>
  <si>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</si>
  <si>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</si>
  <si>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</si>
  <si>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</si>
  <si>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</si>
  <si>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</si>
  <si>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</si>
  <si>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</si>
  <si>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</si>
  <si>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</si>
  <si>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</si>
  <si>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</si>
  <si>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</si>
  <si>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</si>
  <si>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</si>
  <si>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</si>
  <si>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</si>
  <si>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</si>
  <si>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</si>
  <si>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</si>
  <si>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</si>
  <si>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</si>
  <si>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</si>
  <si>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</si>
  <si>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</si>
  <si>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</si>
  <si>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</si>
  <si>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</si>
  <si>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</si>
  <si>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</si>
  <si>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</si>
  <si>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</si>
  <si>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</si>
  <si>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</si>
  <si>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</si>
  <si>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</si>
  <si>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</si>
  <si>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</si>
  <si>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</si>
  <si>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</si>
  <si>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</si>
  <si>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</si>
  <si>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</si>
  <si>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</si>
  <si>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</si>
  <si>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</si>
  <si>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</si>
  <si>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</si>
  <si>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</si>
  <si>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</si>
  <si>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</si>
  <si>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</si>
  <si>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</si>
  <si>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</si>
  <si>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</si>
  <si>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</si>
  <si>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</si>
  <si>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</si>
  <si>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</si>
  <si>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</si>
  <si>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</si>
  <si>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</si>
  <si>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</si>
  <si>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</si>
  <si>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</si>
  <si>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</si>
  <si>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</si>
  <si>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</si>
  <si>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</si>
  <si>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</si>
  <si>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</si>
  <si>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</si>
  <si>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</si>
  <si>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</si>
  <si>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</si>
  <si>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</si>
  <si>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</si>
  <si>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</si>
  <si>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</si>
  <si>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</si>
  <si>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</si>
  <si>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</si>
  <si>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</si>
  <si>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</si>
  <si>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</si>
  <si>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</si>
  <si>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</si>
  <si>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</si>
  <si>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</si>
  <si>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</si>
  <si>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</si>
  <si>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</si>
  <si>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</si>
  <si>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</si>
  <si>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</si>
  <si>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</si>
  <si>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</si>
  <si>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</si>
  <si>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</si>
  <si>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</si>
  <si>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</si>
  <si>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</si>
  <si>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</si>
  <si>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</si>
  <si>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</si>
  <si>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</si>
  <si>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</si>
  <si>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</si>
  <si>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</si>
  <si>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</si>
  <si>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</si>
  <si>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</si>
  <si>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</si>
  <si>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</si>
  <si>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</si>
  <si>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</si>
  <si>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</si>
  <si>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</si>
  <si>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</si>
  <si>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</si>
  <si>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</si>
  <si>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</si>
  <si>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</si>
  <si>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</si>
  <si>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</si>
  <si>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</si>
  <si>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</si>
  <si>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</si>
  <si>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</si>
  <si>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</si>
  <si>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</si>
  <si>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</si>
  <si>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</si>
  <si>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</si>
  <si>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</si>
  <si>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</si>
  <si>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</si>
  <si>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</si>
  <si>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</si>
  <si>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</si>
  <si>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</si>
  <si>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</si>
  <si>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</si>
  <si>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</si>
  <si>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</si>
  <si>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</si>
  <si>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</si>
  <si>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</si>
  <si>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</si>
  <si>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</si>
  <si>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</si>
  <si>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</si>
  <si>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</si>
  <si>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</si>
  <si>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</si>
  <si>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</si>
  <si>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</si>
  <si>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</si>
  <si>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M078</t>
    <phoneticPr fontId="1"/>
  </si>
  <si>
    <t>A700</t>
    <phoneticPr fontId="1"/>
  </si>
  <si>
    <t>M074</t>
    <phoneticPr fontId="1"/>
  </si>
  <si>
    <t>AYG099</t>
    <phoneticPr fontId="1"/>
  </si>
  <si>
    <t>M037</t>
    <phoneticPr fontId="1"/>
  </si>
  <si>
    <t>A913</t>
    <phoneticPr fontId="1"/>
  </si>
  <si>
    <t>A318</t>
    <phoneticPr fontId="1"/>
  </si>
  <si>
    <t>A335</t>
    <phoneticPr fontId="1"/>
  </si>
  <si>
    <t>A505</t>
    <phoneticPr fontId="1"/>
  </si>
  <si>
    <t>重量</t>
    <rPh sb="0" eb="2">
      <t>ジュウリョウ</t>
    </rPh>
    <phoneticPr fontId="1"/>
  </si>
  <si>
    <t>A328</t>
    <phoneticPr fontId="1"/>
  </si>
  <si>
    <t>2025/5/21 個数</t>
  </si>
  <si>
    <t>M025</t>
    <phoneticPr fontId="1"/>
  </si>
  <si>
    <t>2025/5/8 個数</t>
  </si>
  <si>
    <t>A732</t>
    <phoneticPr fontId="1"/>
  </si>
  <si>
    <t>C</t>
    <phoneticPr fontId="1"/>
  </si>
  <si>
    <t>A307</t>
    <phoneticPr fontId="1"/>
  </si>
  <si>
    <t>2025/5/11 個数</t>
  </si>
  <si>
    <t>2025/5/13 個数</t>
  </si>
  <si>
    <t>2025/5/14 個数</t>
  </si>
  <si>
    <t>2025/5/15 個数</t>
  </si>
  <si>
    <t>2025/5/17 個数</t>
  </si>
  <si>
    <t>2025/5/18 個数</t>
  </si>
  <si>
    <t>2025/5/28 個数</t>
  </si>
  <si>
    <t>2025/6/16 個数</t>
  </si>
  <si>
    <t>M070</t>
    <phoneticPr fontId="1"/>
  </si>
  <si>
    <t>A611</t>
    <phoneticPr fontId="1"/>
  </si>
  <si>
    <t>2025/5/5 個数</t>
  </si>
  <si>
    <t>2025/5/19 個数</t>
  </si>
  <si>
    <t>2025/5/22 個数</t>
  </si>
  <si>
    <t>2025/5/23 個数</t>
  </si>
  <si>
    <t>2025/5/24 個数</t>
  </si>
  <si>
    <t>2025/5/25 個数</t>
  </si>
  <si>
    <t>2025/5/27 個数</t>
  </si>
  <si>
    <t>2025/5/29 個数</t>
  </si>
  <si>
    <t>2025/6/2 個数</t>
  </si>
  <si>
    <t>AYG107</t>
    <phoneticPr fontId="1"/>
  </si>
  <si>
    <t>07030182</t>
    <phoneticPr fontId="1"/>
  </si>
  <si>
    <t>07030183</t>
    <phoneticPr fontId="1"/>
  </si>
  <si>
    <t>07030507</t>
    <phoneticPr fontId="1"/>
  </si>
  <si>
    <t>07030508</t>
    <phoneticPr fontId="1"/>
  </si>
  <si>
    <t>07030550</t>
    <phoneticPr fontId="1"/>
  </si>
  <si>
    <t>07040617</t>
    <phoneticPr fontId="1"/>
  </si>
  <si>
    <t>07040618</t>
  </si>
  <si>
    <t>07040619</t>
  </si>
  <si>
    <t>07040620</t>
  </si>
  <si>
    <t>07040621</t>
  </si>
  <si>
    <t>07040622</t>
  </si>
  <si>
    <t>07040623</t>
  </si>
  <si>
    <t>07040624</t>
  </si>
  <si>
    <t>07040625</t>
  </si>
  <si>
    <t>07040626</t>
  </si>
  <si>
    <t>A623</t>
    <phoneticPr fontId="1"/>
  </si>
  <si>
    <t>07040582</t>
    <phoneticPr fontId="1"/>
  </si>
  <si>
    <t>A529</t>
    <phoneticPr fontId="1"/>
  </si>
  <si>
    <t>07040583</t>
    <phoneticPr fontId="1"/>
  </si>
  <si>
    <t>07040585</t>
    <phoneticPr fontId="1"/>
  </si>
  <si>
    <t>07040586</t>
    <phoneticPr fontId="1"/>
  </si>
  <si>
    <t>07040588</t>
    <phoneticPr fontId="1"/>
  </si>
  <si>
    <t>P</t>
    <phoneticPr fontId="1"/>
  </si>
  <si>
    <t>07040627</t>
    <phoneticPr fontId="1"/>
  </si>
  <si>
    <t>07040628</t>
    <phoneticPr fontId="1"/>
  </si>
  <si>
    <t>07040629</t>
    <phoneticPr fontId="1"/>
  </si>
  <si>
    <t>07040630</t>
    <phoneticPr fontId="1"/>
  </si>
  <si>
    <t>07040631</t>
    <phoneticPr fontId="1"/>
  </si>
  <si>
    <t>07040632</t>
  </si>
  <si>
    <t>07040633</t>
  </si>
  <si>
    <t>07040471</t>
    <phoneticPr fontId="1"/>
  </si>
  <si>
    <t>07040481</t>
    <phoneticPr fontId="1"/>
  </si>
  <si>
    <t>07040482</t>
    <phoneticPr fontId="1"/>
  </si>
  <si>
    <t>07040483</t>
    <phoneticPr fontId="1"/>
  </si>
  <si>
    <t>07040484</t>
    <phoneticPr fontId="1"/>
  </si>
  <si>
    <t>07040497</t>
    <phoneticPr fontId="1"/>
  </si>
  <si>
    <t>07040569</t>
    <phoneticPr fontId="1"/>
  </si>
  <si>
    <t>07040570</t>
    <phoneticPr fontId="1"/>
  </si>
  <si>
    <t>07040571</t>
    <phoneticPr fontId="1"/>
  </si>
  <si>
    <t>07040572</t>
    <phoneticPr fontId="1"/>
  </si>
  <si>
    <t>07040578</t>
    <phoneticPr fontId="1"/>
  </si>
  <si>
    <t>A997</t>
    <phoneticPr fontId="1"/>
  </si>
  <si>
    <t>07040590</t>
    <phoneticPr fontId="1"/>
  </si>
  <si>
    <t>07040591</t>
    <phoneticPr fontId="1"/>
  </si>
  <si>
    <t>M015</t>
    <phoneticPr fontId="1"/>
  </si>
  <si>
    <t>07040610</t>
    <phoneticPr fontId="1"/>
  </si>
  <si>
    <t>07040611</t>
    <phoneticPr fontId="1"/>
  </si>
  <si>
    <t>07040613</t>
    <phoneticPr fontId="1"/>
  </si>
  <si>
    <t>07040420</t>
    <phoneticPr fontId="1"/>
  </si>
  <si>
    <t>E</t>
    <phoneticPr fontId="1"/>
  </si>
  <si>
    <t>07040421</t>
    <phoneticPr fontId="1"/>
  </si>
  <si>
    <t>07040422</t>
    <phoneticPr fontId="1"/>
  </si>
  <si>
    <t>07040423</t>
    <phoneticPr fontId="1"/>
  </si>
  <si>
    <t>07040424</t>
    <phoneticPr fontId="1"/>
  </si>
  <si>
    <t>07040425</t>
    <phoneticPr fontId="1"/>
  </si>
  <si>
    <t>07040146</t>
    <phoneticPr fontId="1"/>
  </si>
  <si>
    <t>07040168</t>
    <phoneticPr fontId="1"/>
  </si>
  <si>
    <t>07040349</t>
    <phoneticPr fontId="1"/>
  </si>
  <si>
    <t>07040387</t>
    <phoneticPr fontId="1"/>
  </si>
  <si>
    <t>07040419</t>
    <phoneticPr fontId="1"/>
  </si>
  <si>
    <t>07040440</t>
    <phoneticPr fontId="1"/>
  </si>
  <si>
    <t>07040441</t>
    <phoneticPr fontId="1"/>
  </si>
  <si>
    <t>07040442</t>
    <phoneticPr fontId="1"/>
  </si>
  <si>
    <t>07040443</t>
    <phoneticPr fontId="1"/>
  </si>
  <si>
    <t>07040444</t>
    <phoneticPr fontId="1"/>
  </si>
  <si>
    <t>07040445</t>
    <phoneticPr fontId="1"/>
  </si>
  <si>
    <t>07040446</t>
    <phoneticPr fontId="1"/>
  </si>
  <si>
    <t>07040447</t>
    <phoneticPr fontId="1"/>
  </si>
  <si>
    <t>07040448</t>
    <phoneticPr fontId="1"/>
  </si>
  <si>
    <t>07040449</t>
    <phoneticPr fontId="1"/>
  </si>
  <si>
    <t>07040456</t>
    <phoneticPr fontId="1"/>
  </si>
  <si>
    <t>07040468</t>
    <phoneticPr fontId="1"/>
  </si>
  <si>
    <t>07040473</t>
    <phoneticPr fontId="1"/>
  </si>
  <si>
    <t>07040452</t>
    <phoneticPr fontId="1"/>
  </si>
  <si>
    <t>07040454</t>
    <phoneticPr fontId="1"/>
  </si>
  <si>
    <t>07040455</t>
    <phoneticPr fontId="1"/>
  </si>
  <si>
    <t>07040461</t>
    <phoneticPr fontId="1"/>
  </si>
  <si>
    <t>07040470</t>
    <phoneticPr fontId="1"/>
  </si>
  <si>
    <t>07040474</t>
    <phoneticPr fontId="1"/>
  </si>
  <si>
    <t>07040485</t>
    <phoneticPr fontId="1"/>
  </si>
  <si>
    <t>07040486</t>
    <phoneticPr fontId="1"/>
  </si>
  <si>
    <t>07040562</t>
    <phoneticPr fontId="1"/>
  </si>
  <si>
    <t>A120</t>
    <phoneticPr fontId="1"/>
  </si>
  <si>
    <t>07040563</t>
    <phoneticPr fontId="1"/>
  </si>
  <si>
    <t>07040564</t>
    <phoneticPr fontId="1"/>
  </si>
  <si>
    <t>07040565</t>
    <phoneticPr fontId="1"/>
  </si>
  <si>
    <t>07040568</t>
    <phoneticPr fontId="1"/>
  </si>
  <si>
    <t>07040478</t>
    <phoneticPr fontId="1"/>
  </si>
  <si>
    <t>07040479</t>
    <phoneticPr fontId="1"/>
  </si>
  <si>
    <t>07040488</t>
    <phoneticPr fontId="1"/>
  </si>
  <si>
    <t>07040489</t>
    <phoneticPr fontId="1"/>
  </si>
  <si>
    <t>07040490</t>
    <phoneticPr fontId="1"/>
  </si>
  <si>
    <t>07040491</t>
  </si>
  <si>
    <t>07040492</t>
  </si>
  <si>
    <t>07040493</t>
  </si>
  <si>
    <t>07040494</t>
  </si>
  <si>
    <t>07040495</t>
  </si>
  <si>
    <t>07040496</t>
  </si>
  <si>
    <t>07040516</t>
    <phoneticPr fontId="1"/>
  </si>
  <si>
    <t>07040566</t>
    <phoneticPr fontId="1"/>
  </si>
  <si>
    <t>07040567</t>
    <phoneticPr fontId="1"/>
  </si>
  <si>
    <t>07040574</t>
    <phoneticPr fontId="1"/>
  </si>
  <si>
    <t>07040575</t>
    <phoneticPr fontId="1"/>
  </si>
  <si>
    <t>07040576</t>
    <phoneticPr fontId="1"/>
  </si>
  <si>
    <t>07040498</t>
    <phoneticPr fontId="1"/>
  </si>
  <si>
    <t>A330</t>
    <phoneticPr fontId="1"/>
  </si>
  <si>
    <t>07040499</t>
  </si>
  <si>
    <t>07040500</t>
  </si>
  <si>
    <t>07040501</t>
  </si>
  <si>
    <t>07040502</t>
  </si>
  <si>
    <t>07040503</t>
  </si>
  <si>
    <t>07040504</t>
  </si>
  <si>
    <t>07040505</t>
  </si>
  <si>
    <t>07040506</t>
  </si>
  <si>
    <t>07040507</t>
  </si>
  <si>
    <t>07040508</t>
  </si>
  <si>
    <t>07040509</t>
  </si>
  <si>
    <t>07040510</t>
  </si>
  <si>
    <t>07040511</t>
  </si>
  <si>
    <t>07040512</t>
  </si>
  <si>
    <t>07040513</t>
  </si>
  <si>
    <t>07040514</t>
  </si>
  <si>
    <t>07040515</t>
  </si>
  <si>
    <t>07040344</t>
    <phoneticPr fontId="1"/>
  </si>
  <si>
    <t>07040388</t>
    <phoneticPr fontId="1"/>
  </si>
  <si>
    <t>07040389</t>
    <phoneticPr fontId="1"/>
  </si>
  <si>
    <t>07040390</t>
    <phoneticPr fontId="1"/>
  </si>
  <si>
    <t>07040392</t>
    <phoneticPr fontId="1"/>
  </si>
  <si>
    <t>07040393</t>
    <phoneticPr fontId="1"/>
  </si>
  <si>
    <t>07040406</t>
    <phoneticPr fontId="1"/>
  </si>
  <si>
    <t>07040407</t>
    <phoneticPr fontId="1"/>
  </si>
  <si>
    <t>07040408</t>
    <phoneticPr fontId="1"/>
  </si>
  <si>
    <t>07040439</t>
    <phoneticPr fontId="1"/>
  </si>
  <si>
    <t>07040475</t>
    <phoneticPr fontId="1"/>
  </si>
  <si>
    <t>07040458</t>
    <phoneticPr fontId="1"/>
  </si>
  <si>
    <t>07040472</t>
    <phoneticPr fontId="1"/>
  </si>
  <si>
    <t>07040457</t>
    <phoneticPr fontId="1"/>
  </si>
  <si>
    <t>07040634</t>
    <phoneticPr fontId="1"/>
  </si>
  <si>
    <t>07040635</t>
    <phoneticPr fontId="1"/>
  </si>
  <si>
    <t>07040637</t>
    <phoneticPr fontId="1"/>
  </si>
  <si>
    <t>07030503</t>
    <phoneticPr fontId="1"/>
  </si>
  <si>
    <t>07030553</t>
    <phoneticPr fontId="1"/>
  </si>
  <si>
    <t>07040069</t>
    <phoneticPr fontId="1"/>
  </si>
  <si>
    <t>07040193</t>
    <phoneticPr fontId="1"/>
  </si>
  <si>
    <t>07040396</t>
    <phoneticPr fontId="1"/>
  </si>
  <si>
    <t>07040395</t>
    <phoneticPr fontId="1"/>
  </si>
  <si>
    <t>07040397</t>
    <phoneticPr fontId="1"/>
  </si>
  <si>
    <t>A622</t>
    <phoneticPr fontId="1"/>
  </si>
  <si>
    <t>07040398</t>
    <phoneticPr fontId="1"/>
  </si>
  <si>
    <t>07040399</t>
    <phoneticPr fontId="1"/>
  </si>
  <si>
    <t>07040400</t>
    <phoneticPr fontId="1"/>
  </si>
  <si>
    <t>07040405</t>
    <phoneticPr fontId="1"/>
  </si>
  <si>
    <t>07040453</t>
    <phoneticPr fontId="1"/>
  </si>
  <si>
    <t>07040469</t>
    <phoneticPr fontId="1"/>
  </si>
  <si>
    <t>07040584</t>
    <phoneticPr fontId="1"/>
  </si>
  <si>
    <t>07040587</t>
    <phoneticPr fontId="1"/>
  </si>
  <si>
    <t>07030412</t>
    <phoneticPr fontId="1"/>
  </si>
  <si>
    <t>07030413</t>
    <phoneticPr fontId="1"/>
  </si>
  <si>
    <t>07040647</t>
    <phoneticPr fontId="1"/>
  </si>
  <si>
    <t>07040648</t>
    <phoneticPr fontId="1"/>
  </si>
  <si>
    <t>07040649</t>
    <phoneticPr fontId="1"/>
  </si>
  <si>
    <t>07040650</t>
  </si>
  <si>
    <t>07040651</t>
  </si>
  <si>
    <t>07040652</t>
  </si>
  <si>
    <t>07040653</t>
  </si>
  <si>
    <t>07040654</t>
  </si>
  <si>
    <t>07040655</t>
  </si>
  <si>
    <t>07040656</t>
  </si>
  <si>
    <t>07040657</t>
  </si>
  <si>
    <t>07040658</t>
  </si>
  <si>
    <t>07040659</t>
  </si>
  <si>
    <t>07040073</t>
    <phoneticPr fontId="1"/>
  </si>
  <si>
    <t>07040233</t>
    <phoneticPr fontId="1"/>
  </si>
  <si>
    <t>07040592</t>
    <phoneticPr fontId="1"/>
  </si>
  <si>
    <t>07040593</t>
  </si>
  <si>
    <t>07040594</t>
  </si>
  <si>
    <t>07040595</t>
  </si>
  <si>
    <t>07040596</t>
  </si>
  <si>
    <t>07040638</t>
    <phoneticPr fontId="1"/>
  </si>
  <si>
    <t>A550</t>
    <phoneticPr fontId="1"/>
  </si>
  <si>
    <t>07040663</t>
    <phoneticPr fontId="1"/>
  </si>
  <si>
    <t>07040664</t>
    <phoneticPr fontId="1"/>
  </si>
  <si>
    <t>07040645</t>
    <phoneticPr fontId="1"/>
  </si>
  <si>
    <t>07040646</t>
    <phoneticPr fontId="1"/>
  </si>
  <si>
    <t>07040665</t>
    <phoneticPr fontId="1"/>
  </si>
  <si>
    <t>07040666</t>
    <phoneticPr fontId="1"/>
  </si>
  <si>
    <t>07040667</t>
    <phoneticPr fontId="1"/>
  </si>
  <si>
    <t>07040668</t>
    <phoneticPr fontId="1"/>
  </si>
  <si>
    <t>2025/4/26 個数</t>
  </si>
  <si>
    <t>2025/5/12 個数</t>
  </si>
  <si>
    <t>2025/5/30 個数</t>
  </si>
  <si>
    <t>2025/5/31 個数</t>
  </si>
  <si>
    <t>2025/6/1 個数</t>
  </si>
  <si>
    <t>2025/6/3 個数</t>
  </si>
  <si>
    <t>2025/6/4 個数</t>
  </si>
  <si>
    <t>2025/6/7 個数</t>
  </si>
  <si>
    <t>2025/6/8 個数</t>
  </si>
  <si>
    <t>2025/6/13 個数</t>
  </si>
  <si>
    <t>2025/6/18 個数</t>
  </si>
  <si>
    <t>2025/6/28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</si>
</sst>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14" sqref="F14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216</v>
      </c>
      <c r="B1" s="24">
        <v>45771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16.8</v>
      </c>
      <c r="C3" s="85" t="s">
        <v>265</v>
      </c>
      <c r="D3" s="109" t="s">
        <v>181</v>
      </c>
      <c r="E3" s="15" t="s">
        <v>59</v>
      </c>
      <c r="F3" s="14"/>
      <c r="G3" s="12" t="s">
        <v>178</v>
      </c>
      <c r="H3" s="13" t="s">
        <v>266</v>
      </c>
      <c r="I3" s="13"/>
      <c r="J3" s="13">
        <v>2</v>
      </c>
      <c r="K3" s="13"/>
      <c r="L3" s="13"/>
      <c r="M3" s="13"/>
      <c r="N3" s="13"/>
      <c r="O3" s="13"/>
      <c r="P3" s="13"/>
      <c r="Q3" s="13"/>
      <c r="R3" s="13"/>
      <c r="S3" s="13"/>
      <c r="T3" s="25">
        <v>45801</v>
      </c>
      <c r="U3" s="13" t="s">
        <v>146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267</v>
      </c>
      <c r="D4" s="109" t="s">
        <v>181</v>
      </c>
      <c r="E4" s="15" t="s">
        <v>59</v>
      </c>
      <c r="F4" s="16"/>
      <c r="G4" s="12" t="s">
        <v>178</v>
      </c>
      <c r="H4" s="15" t="s">
        <v>266</v>
      </c>
      <c r="I4" s="13"/>
      <c r="J4" s="15">
        <v>2</v>
      </c>
      <c r="K4" s="15"/>
      <c r="L4" s="17"/>
      <c r="M4" s="17"/>
      <c r="N4" s="13"/>
      <c r="O4" s="17"/>
      <c r="P4" s="17"/>
      <c r="Q4" s="17"/>
      <c r="R4" s="17"/>
      <c r="S4" s="15"/>
      <c r="T4" s="25">
        <v>45805</v>
      </c>
      <c r="U4" s="13" t="s">
        <v>146</v>
      </c>
      <c r="V4">
        <v>2</v>
      </c>
      <c r="X4" s="51" t="s">
        <v>107</v>
      </c>
      <c r="Y4" s="52">
        <f>COUNTIF(U3:U27,"R")</f>
        <v>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268</v>
      </c>
      <c r="D5" s="109" t="s">
        <v>181</v>
      </c>
      <c r="E5" s="15" t="s">
        <v>42</v>
      </c>
      <c r="F5" s="16"/>
      <c r="G5" s="12" t="s">
        <v>178</v>
      </c>
      <c r="H5" s="13"/>
      <c r="I5" s="13"/>
      <c r="J5" s="15"/>
      <c r="K5" s="15"/>
      <c r="L5" s="17"/>
      <c r="M5" s="17"/>
      <c r="N5" s="13"/>
      <c r="O5" s="17"/>
      <c r="P5" s="17"/>
      <c r="Q5" s="17"/>
      <c r="R5" s="17"/>
      <c r="S5" s="15">
        <v>1</v>
      </c>
      <c r="T5" s="25">
        <v>45799</v>
      </c>
      <c r="U5" s="13" t="s">
        <v>146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269</v>
      </c>
      <c r="D6" s="109" t="s">
        <v>181</v>
      </c>
      <c r="E6" s="15" t="s">
        <v>41</v>
      </c>
      <c r="F6" s="16"/>
      <c r="G6" s="12" t="s">
        <v>178</v>
      </c>
      <c r="H6" s="15"/>
      <c r="I6" s="13"/>
      <c r="J6" s="13">
        <v>1</v>
      </c>
      <c r="K6" s="15"/>
      <c r="L6" s="17"/>
      <c r="M6" s="17"/>
      <c r="N6" s="13"/>
      <c r="O6" s="17"/>
      <c r="P6" s="17"/>
      <c r="Q6" s="17"/>
      <c r="R6" s="17"/>
      <c r="S6" s="15"/>
      <c r="T6" s="25">
        <v>45799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270</v>
      </c>
      <c r="D7" s="109" t="s">
        <v>181</v>
      </c>
      <c r="E7" s="15" t="s">
        <v>42</v>
      </c>
      <c r="F7" s="16"/>
      <c r="G7" s="12" t="s">
        <v>178</v>
      </c>
      <c r="H7" s="15" t="s">
        <v>266</v>
      </c>
      <c r="I7" s="13"/>
      <c r="J7" s="15">
        <v>2</v>
      </c>
      <c r="K7" s="15"/>
      <c r="L7" s="17"/>
      <c r="M7" s="17"/>
      <c r="N7" s="13"/>
      <c r="O7" s="17"/>
      <c r="P7" s="17"/>
      <c r="Q7" s="17"/>
      <c r="R7" s="17"/>
      <c r="S7" s="15"/>
      <c r="T7" s="25">
        <v>45801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271</v>
      </c>
      <c r="D8" s="109" t="s">
        <v>181</v>
      </c>
      <c r="E8" s="15" t="s">
        <v>39</v>
      </c>
      <c r="F8" s="16"/>
      <c r="G8" s="12" t="s">
        <v>239</v>
      </c>
      <c r="H8" s="13"/>
      <c r="I8" s="13"/>
      <c r="J8" s="15">
        <v>1</v>
      </c>
      <c r="K8" s="15"/>
      <c r="L8" s="17">
        <v>1</v>
      </c>
      <c r="M8" s="17"/>
      <c r="N8" s="13"/>
      <c r="O8" s="17"/>
      <c r="P8" s="17"/>
      <c r="Q8" s="17"/>
      <c r="R8" s="17"/>
      <c r="S8" s="15"/>
      <c r="T8" s="25">
        <v>45799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/>
      <c r="D9" s="109"/>
      <c r="E9" s="15"/>
      <c r="F9" s="16"/>
      <c r="G9" s="12"/>
      <c r="H9" s="15"/>
      <c r="I9" s="13"/>
      <c r="J9" s="15"/>
      <c r="K9" s="15"/>
      <c r="L9" s="17"/>
      <c r="M9" s="17"/>
      <c r="N9" s="13"/>
      <c r="O9" s="17"/>
      <c r="P9" s="17"/>
      <c r="Q9" s="17"/>
      <c r="R9" s="17"/>
      <c r="S9" s="15"/>
      <c r="T9" s="25"/>
      <c r="U9" s="13"/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/>
      <c r="D10" s="109"/>
      <c r="E10" s="15"/>
      <c r="F10" s="16"/>
      <c r="G10" s="12"/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/>
      <c r="T10" s="25"/>
      <c r="U10" s="13"/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/>
      <c r="D11" s="109"/>
      <c r="E11" s="15"/>
      <c r="F11" s="16"/>
      <c r="G11" s="12"/>
      <c r="H11" s="15"/>
      <c r="I11" s="13"/>
      <c r="J11" s="15"/>
      <c r="K11" s="15"/>
      <c r="L11" s="17"/>
      <c r="M11" s="17"/>
      <c r="N11" s="13"/>
      <c r="O11" s="17"/>
      <c r="P11" s="17"/>
      <c r="Q11" s="17"/>
      <c r="R11" s="17"/>
      <c r="S11" s="15"/>
      <c r="T11" s="25"/>
      <c r="U11" s="13"/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/>
      <c r="D12" s="109"/>
      <c r="E12" s="15"/>
      <c r="F12" s="16"/>
      <c r="G12" s="12"/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5"/>
      <c r="T12" s="25"/>
      <c r="U12" s="13"/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/>
      <c r="D13" s="109"/>
      <c r="E13" s="15"/>
      <c r="F13" s="16"/>
      <c r="G13" s="12"/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/>
      <c r="D14" s="109"/>
      <c r="E14" s="15"/>
      <c r="F14" s="16"/>
      <c r="G14" s="12"/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/>
      <c r="D15" s="109"/>
      <c r="E15" s="15"/>
      <c r="F15" s="16"/>
      <c r="G15" s="12"/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/>
      <c r="D16" s="109"/>
      <c r="E16" s="15"/>
      <c r="F16" s="16"/>
      <c r="G16" s="12"/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300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178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6</v>
      </c>
      <c r="D28" s="112"/>
      <c r="E28" s="29"/>
      <c r="F28" s="29" t="s">
        <v>34</v>
      </c>
      <c r="G28" s="29">
        <f>COUNTIF(G3:G27,"S")</f>
        <v>5</v>
      </c>
      <c r="H28" s="29">
        <f>COUNTIF(H3:H27,"E")</f>
        <v>3</v>
      </c>
      <c r="I28" s="29">
        <f t="shared" ref="I28:S28" si="0">SUM(I3:I27)</f>
        <v>0</v>
      </c>
      <c r="J28" s="29">
        <f t="shared" si="0"/>
        <v>8</v>
      </c>
      <c r="K28" s="29">
        <f t="shared" si="0"/>
        <v>0</v>
      </c>
      <c r="L28" s="29">
        <f t="shared" si="0"/>
        <v>1</v>
      </c>
      <c r="M28" s="29">
        <f t="shared" si="0"/>
        <v>0</v>
      </c>
      <c r="N28" s="29">
        <f t="shared" si="0"/>
        <v>0</v>
      </c>
      <c r="O28" s="29">
        <f t="shared" si="0"/>
        <v>0</v>
      </c>
      <c r="P28" s="29">
        <f t="shared" si="0"/>
        <v>0</v>
      </c>
      <c r="Q28" s="29">
        <f t="shared" si="0"/>
        <v>0</v>
      </c>
      <c r="R28" s="29">
        <f t="shared" si="0"/>
        <v>0</v>
      </c>
      <c r="S28" s="29">
        <f t="shared" si="0"/>
        <v>1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10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AYG107</v>
      </c>
      <c r="B31" s="24">
        <f>B1</f>
        <v>45771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19.2</v>
      </c>
      <c r="C33" s="85" t="s">
        <v>272</v>
      </c>
      <c r="D33" s="109" t="s">
        <v>180</v>
      </c>
      <c r="E33" s="15" t="s">
        <v>37</v>
      </c>
      <c r="F33" s="14"/>
      <c r="G33" s="12" t="s">
        <v>178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45788</v>
      </c>
      <c r="U33" s="13" t="s">
        <v>147</v>
      </c>
      <c r="V33">
        <v>1</v>
      </c>
      <c r="X33" s="51" t="s">
        <v>106</v>
      </c>
      <c r="Y33" s="52">
        <f>COUNTIF(U33:U57,"K")</f>
        <v>8</v>
      </c>
      <c r="AA33" s="31" t="s">
        <v>46</v>
      </c>
      <c r="AB33" s="32">
        <f>J28+J178+J148+J118+J208+J238+J268+J298+J328+J358</f>
        <v>64</v>
      </c>
    </row>
    <row r="34" spans="1:29" x14ac:dyDescent="0.4">
      <c r="A34" s="146"/>
      <c r="B34" s="136"/>
      <c r="C34" s="85" t="s">
        <v>273</v>
      </c>
      <c r="D34" s="109" t="s">
        <v>180</v>
      </c>
      <c r="E34" s="15" t="s">
        <v>44</v>
      </c>
      <c r="F34" s="16"/>
      <c r="G34" s="12" t="s">
        <v>178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45804</v>
      </c>
      <c r="U34" s="13" t="s">
        <v>142</v>
      </c>
      <c r="V34">
        <v>2</v>
      </c>
      <c r="X34" s="51" t="s">
        <v>107</v>
      </c>
      <c r="Y34" s="52">
        <f>COUNTIF(U33:U57,"R")</f>
        <v>7</v>
      </c>
      <c r="AA34" s="31" t="s">
        <v>48</v>
      </c>
      <c r="AB34" s="32">
        <f>K28+K178+K148+K118+K208+K238+K268+K298+K328+K358</f>
        <v>23</v>
      </c>
    </row>
    <row r="35" spans="1:29" ht="19.5" thickBot="1" x14ac:dyDescent="0.45">
      <c r="A35" s="146"/>
      <c r="B35" s="136"/>
      <c r="C35" s="85" t="s">
        <v>274</v>
      </c>
      <c r="D35" s="109" t="s">
        <v>205</v>
      </c>
      <c r="E35" s="15" t="s">
        <v>37</v>
      </c>
      <c r="F35" s="16"/>
      <c r="G35" s="12" t="s">
        <v>178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/>
      <c r="R35" s="17"/>
      <c r="S35" s="15"/>
      <c r="T35" s="25">
        <v>45794</v>
      </c>
      <c r="U35" s="13" t="s">
        <v>147</v>
      </c>
      <c r="V35">
        <v>3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17</v>
      </c>
    </row>
    <row r="36" spans="1:29" x14ac:dyDescent="0.4">
      <c r="A36" s="146"/>
      <c r="B36" s="136"/>
      <c r="C36" s="85" t="s">
        <v>275</v>
      </c>
      <c r="D36" s="109" t="s">
        <v>205</v>
      </c>
      <c r="E36" s="15" t="s">
        <v>75</v>
      </c>
      <c r="F36" s="16"/>
      <c r="G36" s="12" t="s">
        <v>178</v>
      </c>
      <c r="H36" s="15"/>
      <c r="I36" s="13"/>
      <c r="J36" s="13"/>
      <c r="K36" s="15"/>
      <c r="L36" s="17"/>
      <c r="M36" s="17"/>
      <c r="N36" s="13"/>
      <c r="O36" s="17"/>
      <c r="P36" s="17"/>
      <c r="Q36" s="17"/>
      <c r="R36" s="17"/>
      <c r="S36" s="15"/>
      <c r="T36" s="25">
        <v>45796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18</v>
      </c>
    </row>
    <row r="37" spans="1:29" x14ac:dyDescent="0.4">
      <c r="A37" s="146"/>
      <c r="B37" s="136"/>
      <c r="C37" s="85" t="s">
        <v>276</v>
      </c>
      <c r="D37" s="109" t="s">
        <v>177</v>
      </c>
      <c r="E37" s="15" t="s">
        <v>74</v>
      </c>
      <c r="F37" s="16"/>
      <c r="G37" s="12" t="s">
        <v>178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45795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37</v>
      </c>
    </row>
    <row r="38" spans="1:29" x14ac:dyDescent="0.4">
      <c r="A38" s="146"/>
      <c r="B38" s="136"/>
      <c r="C38" s="85" t="s">
        <v>277</v>
      </c>
      <c r="D38" s="109" t="s">
        <v>206</v>
      </c>
      <c r="E38" s="15" t="s">
        <v>37</v>
      </c>
      <c r="F38" s="16"/>
      <c r="G38" s="12" t="s">
        <v>178</v>
      </c>
      <c r="H38" s="13"/>
      <c r="I38" s="13"/>
      <c r="J38" s="15">
        <v>1</v>
      </c>
      <c r="K38" s="15">
        <v>1</v>
      </c>
      <c r="L38" s="17"/>
      <c r="M38" s="17"/>
      <c r="N38" s="13"/>
      <c r="O38" s="17"/>
      <c r="P38" s="17"/>
      <c r="Q38" s="17"/>
      <c r="R38" s="17"/>
      <c r="S38" s="15"/>
      <c r="T38" s="25">
        <v>45800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19</v>
      </c>
    </row>
    <row r="39" spans="1:29" x14ac:dyDescent="0.4">
      <c r="A39" s="146"/>
      <c r="B39" s="136"/>
      <c r="C39" s="85" t="s">
        <v>278</v>
      </c>
      <c r="D39" s="109" t="s">
        <v>206</v>
      </c>
      <c r="E39" s="15" t="s">
        <v>74</v>
      </c>
      <c r="F39" s="16"/>
      <c r="G39" s="12" t="s">
        <v>178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/>
      <c r="R39" s="17"/>
      <c r="S39" s="15"/>
      <c r="T39" s="25">
        <v>45800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20</v>
      </c>
    </row>
    <row r="40" spans="1:29" x14ac:dyDescent="0.4">
      <c r="A40" s="146"/>
      <c r="B40" s="136"/>
      <c r="C40" s="85" t="s">
        <v>279</v>
      </c>
      <c r="D40" s="109" t="s">
        <v>206</v>
      </c>
      <c r="E40" s="15" t="s">
        <v>37</v>
      </c>
      <c r="F40" s="16"/>
      <c r="G40" s="12" t="s">
        <v>178</v>
      </c>
      <c r="H40" s="15"/>
      <c r="I40" s="13"/>
      <c r="J40" s="15"/>
      <c r="K40" s="15"/>
      <c r="L40" s="17"/>
      <c r="M40" s="17">
        <v>1</v>
      </c>
      <c r="N40" s="13">
        <v>1</v>
      </c>
      <c r="O40" s="17"/>
      <c r="P40" s="17"/>
      <c r="Q40" s="17"/>
      <c r="R40" s="17"/>
      <c r="S40" s="15"/>
      <c r="T40" s="25">
        <v>45800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25</v>
      </c>
    </row>
    <row r="41" spans="1:29" x14ac:dyDescent="0.4">
      <c r="A41" s="146"/>
      <c r="B41" s="136"/>
      <c r="C41" s="85" t="s">
        <v>280</v>
      </c>
      <c r="D41" s="109" t="s">
        <v>232</v>
      </c>
      <c r="E41" s="15" t="s">
        <v>39</v>
      </c>
      <c r="F41" s="16"/>
      <c r="G41" s="12" t="s">
        <v>178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45800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8</v>
      </c>
      <c r="AC41" t="s">
        <v>123</v>
      </c>
    </row>
    <row r="42" spans="1:29" ht="19.5" thickBot="1" x14ac:dyDescent="0.45">
      <c r="A42" s="146"/>
      <c r="B42" s="136"/>
      <c r="C42" s="85" t="s">
        <v>281</v>
      </c>
      <c r="D42" s="109" t="s">
        <v>232</v>
      </c>
      <c r="E42" s="15" t="s">
        <v>39</v>
      </c>
      <c r="F42" s="16"/>
      <c r="G42" s="12" t="s">
        <v>178</v>
      </c>
      <c r="H42" s="15"/>
      <c r="I42" s="15"/>
      <c r="J42" s="15">
        <v>1</v>
      </c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45800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6</v>
      </c>
      <c r="AC42" s="73">
        <f>SUM(AB33:AB42)</f>
        <v>237</v>
      </c>
    </row>
    <row r="43" spans="1:29" ht="19.5" thickBot="1" x14ac:dyDescent="0.45">
      <c r="A43" s="146"/>
      <c r="B43" s="136"/>
      <c r="C43" s="85" t="s">
        <v>282</v>
      </c>
      <c r="D43" s="109" t="s">
        <v>232</v>
      </c>
      <c r="E43" s="15" t="s">
        <v>133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>
        <v>1</v>
      </c>
      <c r="P43" s="17">
        <v>1</v>
      </c>
      <c r="Q43" s="17">
        <v>1</v>
      </c>
      <c r="R43" s="17"/>
      <c r="S43" s="15"/>
      <c r="T43" s="25">
        <v>45800</v>
      </c>
      <c r="U43" s="13" t="s">
        <v>148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 t="s">
        <v>283</v>
      </c>
      <c r="D44" s="109" t="s">
        <v>232</v>
      </c>
      <c r="E44" s="15" t="s">
        <v>39</v>
      </c>
      <c r="F44" s="16"/>
      <c r="G44" s="12" t="s">
        <v>178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45800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3</v>
      </c>
    </row>
    <row r="45" spans="1:29" x14ac:dyDescent="0.4">
      <c r="A45" s="146"/>
      <c r="B45" s="136"/>
      <c r="C45" s="85" t="s">
        <v>284</v>
      </c>
      <c r="D45" s="109" t="s">
        <v>232</v>
      </c>
      <c r="E45" s="15" t="s">
        <v>133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>
        <v>1</v>
      </c>
      <c r="P45" s="17">
        <v>1</v>
      </c>
      <c r="Q45" s="17">
        <v>1</v>
      </c>
      <c r="R45" s="17">
        <v>1</v>
      </c>
      <c r="S45" s="15"/>
      <c r="T45" s="25">
        <v>45800</v>
      </c>
      <c r="U45" s="13" t="s">
        <v>148</v>
      </c>
      <c r="V45">
        <v>13</v>
      </c>
      <c r="AA45" s="35" t="s">
        <v>65</v>
      </c>
      <c r="AB45" s="36">
        <f>H29+H59+H89+H119+H149+H179+H209+H239+H269+H299+H329+H359</f>
        <v>3</v>
      </c>
    </row>
    <row r="46" spans="1:29" x14ac:dyDescent="0.4">
      <c r="A46" s="146"/>
      <c r="B46" s="136"/>
      <c r="C46" s="85" t="s">
        <v>285</v>
      </c>
      <c r="D46" s="109" t="s">
        <v>232</v>
      </c>
      <c r="E46" s="15" t="s">
        <v>39</v>
      </c>
      <c r="F46" s="16"/>
      <c r="G46" s="12" t="s">
        <v>178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45800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 t="s">
        <v>286</v>
      </c>
      <c r="D47" s="106" t="s">
        <v>232</v>
      </c>
      <c r="E47" s="15" t="s">
        <v>133</v>
      </c>
      <c r="F47" s="16"/>
      <c r="G47" s="15" t="s">
        <v>178</v>
      </c>
      <c r="H47" s="15"/>
      <c r="I47" s="15"/>
      <c r="J47" s="15"/>
      <c r="K47" s="15"/>
      <c r="L47" s="17"/>
      <c r="M47" s="17"/>
      <c r="N47" s="17"/>
      <c r="O47" s="17"/>
      <c r="P47" s="17">
        <v>1</v>
      </c>
      <c r="Q47" s="17">
        <v>1</v>
      </c>
      <c r="R47" s="17">
        <v>1</v>
      </c>
      <c r="S47" s="15"/>
      <c r="T47" s="25">
        <v>45800</v>
      </c>
      <c r="U47" s="15" t="s">
        <v>148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 t="s">
        <v>287</v>
      </c>
      <c r="D48" s="110" t="s">
        <v>179</v>
      </c>
      <c r="E48" s="18" t="s">
        <v>36</v>
      </c>
      <c r="F48" s="16"/>
      <c r="G48" s="18" t="s">
        <v>178</v>
      </c>
      <c r="H48" s="15"/>
      <c r="I48" s="15"/>
      <c r="J48" s="18"/>
      <c r="K48" s="15"/>
      <c r="L48" s="19"/>
      <c r="M48" s="19">
        <v>1</v>
      </c>
      <c r="N48" s="19">
        <v>1</v>
      </c>
      <c r="O48" s="19"/>
      <c r="P48" s="19"/>
      <c r="Q48" s="19">
        <v>1</v>
      </c>
      <c r="R48" s="19"/>
      <c r="S48" s="15"/>
      <c r="T48" s="25">
        <v>45800</v>
      </c>
      <c r="U48" s="15" t="s">
        <v>147</v>
      </c>
      <c r="V48" s="73">
        <v>16</v>
      </c>
    </row>
    <row r="49" spans="1:28" x14ac:dyDescent="0.4">
      <c r="A49" s="146"/>
      <c r="B49" s="136"/>
      <c r="C49" s="85" t="s">
        <v>288</v>
      </c>
      <c r="D49" s="110" t="s">
        <v>180</v>
      </c>
      <c r="E49" s="18" t="s">
        <v>36</v>
      </c>
      <c r="F49" s="16"/>
      <c r="G49" s="18" t="s">
        <v>178</v>
      </c>
      <c r="H49" s="15"/>
      <c r="I49" s="15"/>
      <c r="J49" s="18"/>
      <c r="K49" s="15"/>
      <c r="L49" s="19"/>
      <c r="M49" s="19">
        <v>1</v>
      </c>
      <c r="N49" s="19">
        <v>1</v>
      </c>
      <c r="O49" s="19"/>
      <c r="P49" s="19"/>
      <c r="Q49" s="19"/>
      <c r="R49" s="19"/>
      <c r="S49" s="15"/>
      <c r="T49" s="26">
        <v>45804</v>
      </c>
      <c r="U49" s="15" t="s">
        <v>147</v>
      </c>
      <c r="V49">
        <v>17</v>
      </c>
      <c r="AA49" s="39" t="s">
        <v>70</v>
      </c>
      <c r="AB49" s="40">
        <f>G28+G58+G88+G118+G148+G178+G208+G238+G268+G298+G328+G358</f>
        <v>163</v>
      </c>
    </row>
    <row r="50" spans="1:28" ht="19.5" thickBot="1" x14ac:dyDescent="0.45">
      <c r="A50" s="146"/>
      <c r="B50" s="136"/>
      <c r="C50" s="86" t="s">
        <v>289</v>
      </c>
      <c r="D50" s="110" t="s">
        <v>179</v>
      </c>
      <c r="E50" s="18" t="s">
        <v>36</v>
      </c>
      <c r="F50" s="16"/>
      <c r="G50" s="18" t="s">
        <v>178</v>
      </c>
      <c r="H50" s="15"/>
      <c r="I50" s="15"/>
      <c r="J50" s="18">
        <v>1</v>
      </c>
      <c r="K50" s="15">
        <v>1</v>
      </c>
      <c r="L50" s="19"/>
      <c r="M50" s="19"/>
      <c r="N50" s="19"/>
      <c r="O50" s="19"/>
      <c r="P50" s="19"/>
      <c r="Q50" s="19"/>
      <c r="R50" s="19"/>
      <c r="S50" s="15"/>
      <c r="T50" s="26">
        <v>45804</v>
      </c>
      <c r="U50" s="15" t="s">
        <v>146</v>
      </c>
      <c r="V50">
        <v>18</v>
      </c>
      <c r="AA50" s="41" t="s">
        <v>69</v>
      </c>
      <c r="AB50" s="42">
        <f>G29+G59+G89+G119+G149+G179+G209+G239+G269+G299+G329+G359</f>
        <v>9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18</v>
      </c>
      <c r="D58" s="112"/>
      <c r="E58" s="29"/>
      <c r="F58" s="29" t="s">
        <v>34</v>
      </c>
      <c r="G58" s="29">
        <f>COUNTIF(G33:G57,"S")</f>
        <v>18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9</v>
      </c>
      <c r="K58" s="29">
        <f t="shared" si="1"/>
        <v>9</v>
      </c>
      <c r="L58" s="29">
        <f t="shared" si="1"/>
        <v>0</v>
      </c>
      <c r="M58" s="29">
        <f t="shared" si="1"/>
        <v>5</v>
      </c>
      <c r="N58" s="29">
        <f t="shared" si="1"/>
        <v>5</v>
      </c>
      <c r="O58" s="29">
        <f t="shared" si="1"/>
        <v>2</v>
      </c>
      <c r="P58" s="29">
        <f t="shared" si="1"/>
        <v>3</v>
      </c>
      <c r="Q58" s="29">
        <f t="shared" si="1"/>
        <v>4</v>
      </c>
      <c r="R58" s="29">
        <f t="shared" si="1"/>
        <v>2</v>
      </c>
      <c r="S58" s="29">
        <f t="shared" si="1"/>
        <v>0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39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AYG107</v>
      </c>
      <c r="B61" s="24">
        <f>B1</f>
        <v>45771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19.8</v>
      </c>
      <c r="C63" s="85" t="s">
        <v>290</v>
      </c>
      <c r="D63" s="109" t="s">
        <v>187</v>
      </c>
      <c r="E63" s="15" t="s">
        <v>43</v>
      </c>
      <c r="F63" s="14"/>
      <c r="G63" s="12" t="s">
        <v>178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45801</v>
      </c>
      <c r="U63" s="13" t="s">
        <v>146</v>
      </c>
      <c r="V63">
        <v>1</v>
      </c>
      <c r="X63" s="51" t="s">
        <v>106</v>
      </c>
      <c r="Y63" s="52">
        <f>COUNTIF(U63:U87,"K")</f>
        <v>6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291</v>
      </c>
      <c r="D64" s="109" t="s">
        <v>185</v>
      </c>
      <c r="E64" s="15" t="s">
        <v>40</v>
      </c>
      <c r="F64" s="16"/>
      <c r="G64" s="12" t="s">
        <v>178</v>
      </c>
      <c r="H64" s="15"/>
      <c r="I64" s="15"/>
      <c r="J64" s="13"/>
      <c r="K64" s="15"/>
      <c r="L64" s="13"/>
      <c r="M64" s="17"/>
      <c r="N64" s="17"/>
      <c r="O64" s="17"/>
      <c r="P64" s="17">
        <v>1</v>
      </c>
      <c r="Q64" s="17"/>
      <c r="R64" s="17">
        <v>1</v>
      </c>
      <c r="S64" s="15"/>
      <c r="T64" s="25">
        <v>45802</v>
      </c>
      <c r="U64" s="13" t="s">
        <v>148</v>
      </c>
      <c r="V64">
        <v>2</v>
      </c>
      <c r="X64" s="51" t="s">
        <v>107</v>
      </c>
      <c r="Y64" s="52">
        <f>COUNTIF(U63:U87,"R")</f>
        <v>5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292</v>
      </c>
      <c r="D65" s="109" t="s">
        <v>185</v>
      </c>
      <c r="E65" s="15" t="s">
        <v>40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/>
      <c r="P65" s="17">
        <v>1</v>
      </c>
      <c r="Q65" s="17"/>
      <c r="R65" s="17">
        <v>1</v>
      </c>
      <c r="S65" s="15"/>
      <c r="T65" s="25">
        <v>45802</v>
      </c>
      <c r="U65" s="13" t="s">
        <v>148</v>
      </c>
      <c r="V65">
        <v>3</v>
      </c>
      <c r="X65" s="53" t="s">
        <v>108</v>
      </c>
      <c r="Y65" s="54">
        <f>COUNTIF(U63:U87,"J")</f>
        <v>4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293</v>
      </c>
      <c r="D66" s="109" t="s">
        <v>190</v>
      </c>
      <c r="E66" s="15" t="s">
        <v>38</v>
      </c>
      <c r="F66" s="16"/>
      <c r="G66" s="12" t="s">
        <v>178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45804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294</v>
      </c>
      <c r="D67" s="109" t="s">
        <v>188</v>
      </c>
      <c r="E67" s="15" t="s">
        <v>36</v>
      </c>
      <c r="F67" s="16"/>
      <c r="G67" s="12" t="s">
        <v>178</v>
      </c>
      <c r="H67" s="15"/>
      <c r="I67" s="15"/>
      <c r="J67" s="13">
        <v>1</v>
      </c>
      <c r="K67" s="15">
        <v>1</v>
      </c>
      <c r="L67" s="13"/>
      <c r="M67" s="17"/>
      <c r="N67" s="17"/>
      <c r="O67" s="17"/>
      <c r="P67" s="17"/>
      <c r="Q67" s="17"/>
      <c r="R67" s="17"/>
      <c r="S67" s="15"/>
      <c r="T67" s="25">
        <v>45795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295</v>
      </c>
      <c r="D68" s="109" t="s">
        <v>179</v>
      </c>
      <c r="E68" s="15" t="s">
        <v>37</v>
      </c>
      <c r="F68" s="16"/>
      <c r="G68" s="12" t="s">
        <v>178</v>
      </c>
      <c r="H68" s="15"/>
      <c r="I68" s="15"/>
      <c r="J68" s="13"/>
      <c r="K68" s="15"/>
      <c r="L68" s="13"/>
      <c r="M68" s="17">
        <v>1</v>
      </c>
      <c r="N68" s="17">
        <v>1</v>
      </c>
      <c r="O68" s="17"/>
      <c r="P68" s="17"/>
      <c r="Q68" s="17">
        <v>1</v>
      </c>
      <c r="R68" s="17"/>
      <c r="S68" s="15"/>
      <c r="T68" s="25">
        <v>45804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 t="s">
        <v>296</v>
      </c>
      <c r="D69" s="109" t="s">
        <v>186</v>
      </c>
      <c r="E69" s="15" t="s">
        <v>37</v>
      </c>
      <c r="F69" s="16"/>
      <c r="G69" s="12" t="s">
        <v>178</v>
      </c>
      <c r="H69" s="15"/>
      <c r="I69" s="15"/>
      <c r="J69" s="13">
        <v>1</v>
      </c>
      <c r="K69" s="15">
        <v>1</v>
      </c>
      <c r="L69" s="13"/>
      <c r="M69" s="17"/>
      <c r="N69" s="17"/>
      <c r="O69" s="17"/>
      <c r="P69" s="17"/>
      <c r="Q69" s="17"/>
      <c r="R69" s="17"/>
      <c r="S69" s="15"/>
      <c r="T69" s="25">
        <v>45826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 t="s">
        <v>297</v>
      </c>
      <c r="D70" s="109" t="s">
        <v>186</v>
      </c>
      <c r="E70" s="15" t="s">
        <v>40</v>
      </c>
      <c r="F70" s="16"/>
      <c r="G70" s="12" t="s">
        <v>178</v>
      </c>
      <c r="H70" s="15"/>
      <c r="I70" s="15"/>
      <c r="J70" s="13"/>
      <c r="K70" s="15"/>
      <c r="L70" s="13"/>
      <c r="M70" s="17"/>
      <c r="N70" s="17"/>
      <c r="O70" s="17">
        <v>1</v>
      </c>
      <c r="P70" s="17">
        <v>1</v>
      </c>
      <c r="Q70" s="17">
        <v>1</v>
      </c>
      <c r="R70" s="17">
        <v>1</v>
      </c>
      <c r="S70" s="15"/>
      <c r="T70" s="25">
        <v>45826</v>
      </c>
      <c r="U70" s="13" t="s">
        <v>148</v>
      </c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 t="s">
        <v>298</v>
      </c>
      <c r="D71" s="109" t="s">
        <v>299</v>
      </c>
      <c r="E71" s="15" t="s">
        <v>40</v>
      </c>
      <c r="F71" s="16"/>
      <c r="G71" s="12" t="s">
        <v>178</v>
      </c>
      <c r="H71" s="15"/>
      <c r="I71" s="15"/>
      <c r="J71" s="13"/>
      <c r="K71" s="15"/>
      <c r="L71" s="13"/>
      <c r="M71" s="17"/>
      <c r="N71" s="17"/>
      <c r="O71" s="17"/>
      <c r="P71" s="17"/>
      <c r="Q71" s="17">
        <v>1</v>
      </c>
      <c r="R71" s="17">
        <v>1</v>
      </c>
      <c r="S71" s="15"/>
      <c r="T71" s="25">
        <v>45809</v>
      </c>
      <c r="U71" s="13" t="s">
        <v>148</v>
      </c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 t="s">
        <v>300</v>
      </c>
      <c r="D72" s="109" t="s">
        <v>190</v>
      </c>
      <c r="E72" s="15" t="s">
        <v>36</v>
      </c>
      <c r="F72" s="16"/>
      <c r="G72" s="12" t="s">
        <v>178</v>
      </c>
      <c r="H72" s="15"/>
      <c r="I72" s="15"/>
      <c r="J72" s="13"/>
      <c r="K72" s="15"/>
      <c r="L72" s="13"/>
      <c r="M72" s="17">
        <v>1</v>
      </c>
      <c r="N72" s="17">
        <v>1</v>
      </c>
      <c r="O72" s="17"/>
      <c r="P72" s="17"/>
      <c r="Q72" s="17"/>
      <c r="R72" s="17"/>
      <c r="S72" s="15"/>
      <c r="T72" s="25">
        <v>45811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 t="s">
        <v>301</v>
      </c>
      <c r="D73" s="109" t="s">
        <v>190</v>
      </c>
      <c r="E73" s="15" t="s">
        <v>75</v>
      </c>
      <c r="F73" s="16"/>
      <c r="G73" s="15" t="s">
        <v>178</v>
      </c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>
        <v>45811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 t="s">
        <v>302</v>
      </c>
      <c r="D74" s="109" t="s">
        <v>194</v>
      </c>
      <c r="E74" s="15" t="s">
        <v>41</v>
      </c>
      <c r="F74" s="16"/>
      <c r="G74" s="15" t="s">
        <v>178</v>
      </c>
      <c r="H74" s="15"/>
      <c r="I74" s="15"/>
      <c r="J74" s="15">
        <v>1</v>
      </c>
      <c r="K74" s="15">
        <v>1</v>
      </c>
      <c r="L74" s="17"/>
      <c r="M74" s="17"/>
      <c r="N74" s="17"/>
      <c r="O74" s="17"/>
      <c r="P74" s="17"/>
      <c r="Q74" s="17"/>
      <c r="R74" s="17"/>
      <c r="S74" s="15"/>
      <c r="T74" s="25">
        <v>45805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 t="s">
        <v>303</v>
      </c>
      <c r="D75" s="109" t="s">
        <v>190</v>
      </c>
      <c r="E75" s="15" t="s">
        <v>38</v>
      </c>
      <c r="F75" s="16"/>
      <c r="G75" s="15" t="s">
        <v>178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45804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 t="s">
        <v>304</v>
      </c>
      <c r="D76" s="109" t="s">
        <v>258</v>
      </c>
      <c r="E76" s="15" t="s">
        <v>37</v>
      </c>
      <c r="F76" s="16"/>
      <c r="G76" s="15" t="s">
        <v>178</v>
      </c>
      <c r="H76" s="15"/>
      <c r="I76" s="15"/>
      <c r="J76" s="15"/>
      <c r="K76" s="15"/>
      <c r="L76" s="17"/>
      <c r="M76" s="17">
        <v>1</v>
      </c>
      <c r="N76" s="17">
        <v>1</v>
      </c>
      <c r="O76" s="17"/>
      <c r="P76" s="17"/>
      <c r="Q76" s="17">
        <v>1</v>
      </c>
      <c r="R76" s="17"/>
      <c r="S76" s="15"/>
      <c r="T76" s="25">
        <v>45804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 t="s">
        <v>305</v>
      </c>
      <c r="D77" s="109" t="s">
        <v>258</v>
      </c>
      <c r="E77" s="15" t="s">
        <v>75</v>
      </c>
      <c r="F77" s="16"/>
      <c r="G77" s="15" t="s">
        <v>178</v>
      </c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>
        <v>45804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6</v>
      </c>
      <c r="L88" s="29">
        <f t="shared" si="2"/>
        <v>0</v>
      </c>
      <c r="M88" s="29">
        <f t="shared" si="2"/>
        <v>3</v>
      </c>
      <c r="N88" s="29">
        <f t="shared" si="2"/>
        <v>3</v>
      </c>
      <c r="O88" s="29">
        <f t="shared" si="2"/>
        <v>1</v>
      </c>
      <c r="P88" s="29">
        <f t="shared" si="2"/>
        <v>3</v>
      </c>
      <c r="Q88" s="29">
        <f t="shared" si="2"/>
        <v>4</v>
      </c>
      <c r="R88" s="29">
        <f t="shared" si="2"/>
        <v>4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24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AYG107</v>
      </c>
      <c r="B91" s="24">
        <f>B1</f>
        <v>45771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23.4</v>
      </c>
      <c r="C93" s="85" t="s">
        <v>306</v>
      </c>
      <c r="D93" s="109" t="s">
        <v>181</v>
      </c>
      <c r="E93" s="15" t="s">
        <v>42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>
        <v>1</v>
      </c>
      <c r="T93" s="25">
        <v>45808</v>
      </c>
      <c r="U93" s="13" t="s">
        <v>146</v>
      </c>
      <c r="V93">
        <v>1</v>
      </c>
      <c r="X93" s="51" t="s">
        <v>106</v>
      </c>
      <c r="Y93" s="52">
        <f>COUNTIF(U93:U117,"K")</f>
        <v>13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307</v>
      </c>
      <c r="D94" s="109" t="s">
        <v>181</v>
      </c>
      <c r="E94" s="15" t="s">
        <v>41</v>
      </c>
      <c r="F94" s="16"/>
      <c r="G94" s="12" t="s">
        <v>178</v>
      </c>
      <c r="H94" s="15"/>
      <c r="I94" s="15"/>
      <c r="J94" s="15">
        <v>1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45808</v>
      </c>
      <c r="U94" s="13" t="s">
        <v>146</v>
      </c>
      <c r="V94">
        <v>2</v>
      </c>
      <c r="X94" s="51" t="s">
        <v>107</v>
      </c>
      <c r="Y94" s="52">
        <f>COUNTIF(U93:U117,"R")</f>
        <v>2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308</v>
      </c>
      <c r="D95" s="109" t="s">
        <v>181</v>
      </c>
      <c r="E95" s="15" t="s">
        <v>42</v>
      </c>
      <c r="F95" s="16"/>
      <c r="G95" s="12" t="s">
        <v>178</v>
      </c>
      <c r="H95" s="15"/>
      <c r="I95" s="15"/>
      <c r="J95" s="15"/>
      <c r="K95" s="15"/>
      <c r="L95" s="17"/>
      <c r="M95" s="17"/>
      <c r="N95" s="17"/>
      <c r="O95" s="17"/>
      <c r="P95" s="17"/>
      <c r="Q95" s="17"/>
      <c r="R95" s="17"/>
      <c r="S95" s="15">
        <v>1</v>
      </c>
      <c r="T95" s="25">
        <v>45808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309</v>
      </c>
      <c r="D96" s="109" t="s">
        <v>181</v>
      </c>
      <c r="E96" s="15" t="s">
        <v>41</v>
      </c>
      <c r="F96" s="16"/>
      <c r="G96" s="12" t="s">
        <v>178</v>
      </c>
      <c r="H96" s="15"/>
      <c r="I96" s="15"/>
      <c r="J96" s="15">
        <v>1</v>
      </c>
      <c r="K96" s="15"/>
      <c r="L96" s="17"/>
      <c r="M96" s="17"/>
      <c r="N96" s="17"/>
      <c r="O96" s="17"/>
      <c r="P96" s="17"/>
      <c r="Q96" s="17"/>
      <c r="R96" s="17"/>
      <c r="S96" s="15"/>
      <c r="T96" s="25">
        <v>45808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310</v>
      </c>
      <c r="D97" s="109" t="s">
        <v>181</v>
      </c>
      <c r="E97" s="15" t="s">
        <v>42</v>
      </c>
      <c r="F97" s="16"/>
      <c r="G97" s="12" t="s">
        <v>178</v>
      </c>
      <c r="H97" s="15"/>
      <c r="I97" s="15"/>
      <c r="J97" s="15"/>
      <c r="K97" s="15"/>
      <c r="L97" s="17"/>
      <c r="M97" s="17"/>
      <c r="N97" s="17"/>
      <c r="O97" s="17"/>
      <c r="P97" s="17"/>
      <c r="Q97" s="17"/>
      <c r="R97" s="17"/>
      <c r="S97" s="15"/>
      <c r="T97" s="25">
        <v>45808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311</v>
      </c>
      <c r="D98" s="109" t="s">
        <v>181</v>
      </c>
      <c r="E98" s="15" t="s">
        <v>41</v>
      </c>
      <c r="F98" s="16"/>
      <c r="G98" s="12" t="s">
        <v>178</v>
      </c>
      <c r="H98" s="13"/>
      <c r="I98" s="15"/>
      <c r="J98" s="15">
        <v>1</v>
      </c>
      <c r="K98" s="15"/>
      <c r="L98" s="17"/>
      <c r="M98" s="17"/>
      <c r="N98" s="17"/>
      <c r="O98" s="17"/>
      <c r="P98" s="17"/>
      <c r="Q98" s="17"/>
      <c r="R98" s="17"/>
      <c r="S98" s="15"/>
      <c r="T98" s="25">
        <v>45808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312</v>
      </c>
      <c r="D99" s="109" t="s">
        <v>181</v>
      </c>
      <c r="E99" s="15" t="s">
        <v>42</v>
      </c>
      <c r="F99" s="16"/>
      <c r="G99" s="12" t="s">
        <v>178</v>
      </c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>
        <v>45808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 t="s">
        <v>313</v>
      </c>
      <c r="D100" s="109" t="s">
        <v>181</v>
      </c>
      <c r="E100" s="15" t="s">
        <v>41</v>
      </c>
      <c r="F100" s="16"/>
      <c r="G100" s="12" t="s">
        <v>178</v>
      </c>
      <c r="H100" s="15"/>
      <c r="I100" s="15"/>
      <c r="J100" s="15">
        <v>1</v>
      </c>
      <c r="K100" s="15"/>
      <c r="L100" s="17"/>
      <c r="M100" s="17"/>
      <c r="N100" s="17"/>
      <c r="O100" s="17"/>
      <c r="P100" s="17"/>
      <c r="Q100" s="17"/>
      <c r="R100" s="17"/>
      <c r="S100" s="15"/>
      <c r="T100" s="25">
        <v>45808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 t="s">
        <v>314</v>
      </c>
      <c r="D101" s="109" t="s">
        <v>181</v>
      </c>
      <c r="E101" s="15" t="s">
        <v>39</v>
      </c>
      <c r="F101" s="16"/>
      <c r="G101" s="12" t="s">
        <v>178</v>
      </c>
      <c r="H101" s="15"/>
      <c r="I101" s="15"/>
      <c r="J101" s="15">
        <v>1</v>
      </c>
      <c r="K101" s="15"/>
      <c r="L101" s="17">
        <v>1</v>
      </c>
      <c r="M101" s="17"/>
      <c r="N101" s="17"/>
      <c r="O101" s="17"/>
      <c r="P101" s="17"/>
      <c r="Q101" s="17"/>
      <c r="R101" s="17"/>
      <c r="S101" s="15"/>
      <c r="T101" s="25">
        <v>45808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 t="s">
        <v>315</v>
      </c>
      <c r="D102" s="109" t="s">
        <v>186</v>
      </c>
      <c r="E102" s="15" t="s">
        <v>58</v>
      </c>
      <c r="F102" s="16"/>
      <c r="G102" s="12" t="s">
        <v>178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45806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 t="s">
        <v>316</v>
      </c>
      <c r="D103" s="109" t="s">
        <v>181</v>
      </c>
      <c r="E103" s="15" t="s">
        <v>39</v>
      </c>
      <c r="F103" s="16"/>
      <c r="G103" s="12" t="s">
        <v>178</v>
      </c>
      <c r="H103" s="15"/>
      <c r="I103" s="15"/>
      <c r="J103" s="15">
        <v>1</v>
      </c>
      <c r="K103" s="15"/>
      <c r="L103" s="17">
        <v>1</v>
      </c>
      <c r="M103" s="17"/>
      <c r="N103" s="17"/>
      <c r="O103" s="17"/>
      <c r="P103" s="17"/>
      <c r="Q103" s="17"/>
      <c r="R103" s="17"/>
      <c r="S103" s="15"/>
      <c r="T103" s="25">
        <v>45809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 t="s">
        <v>317</v>
      </c>
      <c r="D104" s="109" t="s">
        <v>181</v>
      </c>
      <c r="E104" s="15" t="s">
        <v>39</v>
      </c>
      <c r="F104" s="16"/>
      <c r="G104" s="12" t="s">
        <v>178</v>
      </c>
      <c r="H104" s="15"/>
      <c r="I104" s="15"/>
      <c r="J104" s="15">
        <v>1</v>
      </c>
      <c r="K104" s="15"/>
      <c r="L104" s="17">
        <v>1</v>
      </c>
      <c r="M104" s="17"/>
      <c r="N104" s="17"/>
      <c r="O104" s="17"/>
      <c r="P104" s="17"/>
      <c r="Q104" s="17"/>
      <c r="R104" s="17"/>
      <c r="S104" s="15"/>
      <c r="T104" s="25">
        <v>45809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 t="s">
        <v>318</v>
      </c>
      <c r="D105" s="109" t="s">
        <v>188</v>
      </c>
      <c r="E105" s="15" t="s">
        <v>37</v>
      </c>
      <c r="F105" s="16"/>
      <c r="G105" s="12" t="s">
        <v>178</v>
      </c>
      <c r="H105" s="15"/>
      <c r="I105" s="15"/>
      <c r="J105" s="15"/>
      <c r="K105" s="15"/>
      <c r="L105" s="17"/>
      <c r="M105" s="17">
        <v>1</v>
      </c>
      <c r="N105" s="17">
        <v>1</v>
      </c>
      <c r="O105" s="17"/>
      <c r="P105" s="17"/>
      <c r="Q105" s="17"/>
      <c r="R105" s="17"/>
      <c r="S105" s="15"/>
      <c r="T105" s="25">
        <v>45812</v>
      </c>
      <c r="U105" s="132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 t="s">
        <v>319</v>
      </c>
      <c r="D106" s="109" t="s">
        <v>188</v>
      </c>
      <c r="E106" s="15" t="s">
        <v>37</v>
      </c>
      <c r="F106" s="16"/>
      <c r="G106" s="12" t="s">
        <v>178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45812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 t="s">
        <v>320</v>
      </c>
      <c r="D107" s="109" t="s">
        <v>188</v>
      </c>
      <c r="E107" s="15" t="s">
        <v>74</v>
      </c>
      <c r="F107" s="16"/>
      <c r="G107" s="15" t="s">
        <v>178</v>
      </c>
      <c r="H107" s="15"/>
      <c r="I107" s="15"/>
      <c r="J107" s="15">
        <v>1</v>
      </c>
      <c r="K107" s="15">
        <v>1</v>
      </c>
      <c r="L107" s="17"/>
      <c r="M107" s="17"/>
      <c r="N107" s="17"/>
      <c r="O107" s="17"/>
      <c r="P107" s="17"/>
      <c r="Q107" s="17"/>
      <c r="R107" s="17"/>
      <c r="S107" s="15"/>
      <c r="T107" s="25">
        <v>45812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9</v>
      </c>
      <c r="K118" s="29">
        <f t="shared" ref="K118" si="4">SUM(K93:K117)</f>
        <v>2</v>
      </c>
      <c r="L118" s="29">
        <f t="shared" ref="L118" si="5">SUM(L93:L117)</f>
        <v>3</v>
      </c>
      <c r="M118" s="29">
        <f t="shared" ref="M118" si="6">SUM(M93:M117)</f>
        <v>1</v>
      </c>
      <c r="N118" s="29">
        <f t="shared" ref="N118" si="7">SUM(N93:N117)</f>
        <v>1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2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AYG107</v>
      </c>
      <c r="B121" s="24">
        <f>B1</f>
        <v>45771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21.8</v>
      </c>
      <c r="C123" s="85" t="s">
        <v>321</v>
      </c>
      <c r="D123" s="106" t="s">
        <v>322</v>
      </c>
      <c r="E123" s="15" t="s">
        <v>38</v>
      </c>
      <c r="F123" s="14"/>
      <c r="G123" s="12" t="s">
        <v>178</v>
      </c>
      <c r="H123" s="13"/>
      <c r="I123" s="13"/>
      <c r="J123" s="13"/>
      <c r="K123" s="13"/>
      <c r="L123" s="13"/>
      <c r="M123" s="13"/>
      <c r="N123" s="13">
        <v>1</v>
      </c>
      <c r="O123" s="13"/>
      <c r="P123" s="13"/>
      <c r="Q123" s="13"/>
      <c r="R123" s="13"/>
      <c r="S123" s="13"/>
      <c r="T123" s="25">
        <v>45816</v>
      </c>
      <c r="U123" s="13" t="s">
        <v>147</v>
      </c>
      <c r="V123">
        <v>1</v>
      </c>
      <c r="X123" s="51" t="s">
        <v>106</v>
      </c>
      <c r="Y123" s="52">
        <f>COUNTIF(U123:U147,"K")</f>
        <v>0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323</v>
      </c>
      <c r="D124" s="106" t="s">
        <v>322</v>
      </c>
      <c r="E124" s="15" t="s">
        <v>38</v>
      </c>
      <c r="F124" s="16"/>
      <c r="G124" s="12" t="s">
        <v>178</v>
      </c>
      <c r="H124" s="15"/>
      <c r="I124" s="15"/>
      <c r="J124" s="15"/>
      <c r="K124" s="15"/>
      <c r="L124" s="17"/>
      <c r="M124" s="17"/>
      <c r="N124" s="13">
        <v>1</v>
      </c>
      <c r="O124" s="17"/>
      <c r="P124" s="17"/>
      <c r="Q124" s="17"/>
      <c r="R124" s="17"/>
      <c r="S124" s="15"/>
      <c r="T124" s="25">
        <v>45809</v>
      </c>
      <c r="U124" s="13" t="s">
        <v>147</v>
      </c>
      <c r="V124">
        <v>2</v>
      </c>
      <c r="X124" s="51" t="s">
        <v>107</v>
      </c>
      <c r="Y124" s="52">
        <f>COUNTIF(U123:U147,"R")</f>
        <v>18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324</v>
      </c>
      <c r="D125" s="106" t="s">
        <v>322</v>
      </c>
      <c r="E125" s="15" t="s">
        <v>38</v>
      </c>
      <c r="F125" s="16"/>
      <c r="G125" s="12" t="s">
        <v>178</v>
      </c>
      <c r="H125" s="13"/>
      <c r="I125" s="15"/>
      <c r="J125" s="15"/>
      <c r="K125" s="15"/>
      <c r="L125" s="17"/>
      <c r="M125" s="17"/>
      <c r="N125" s="13">
        <v>1</v>
      </c>
      <c r="O125" s="17"/>
      <c r="P125" s="17"/>
      <c r="Q125" s="17"/>
      <c r="R125" s="17"/>
      <c r="S125" s="15"/>
      <c r="T125" s="25">
        <v>45809</v>
      </c>
      <c r="U125" s="13" t="s">
        <v>147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325</v>
      </c>
      <c r="D126" s="106" t="s">
        <v>322</v>
      </c>
      <c r="E126" s="15" t="s">
        <v>38</v>
      </c>
      <c r="F126" s="16"/>
      <c r="G126" s="12" t="s">
        <v>178</v>
      </c>
      <c r="H126" s="15"/>
      <c r="I126" s="15"/>
      <c r="J126" s="15"/>
      <c r="K126" s="15"/>
      <c r="L126" s="17"/>
      <c r="M126" s="17"/>
      <c r="N126" s="13">
        <v>1</v>
      </c>
      <c r="O126" s="17"/>
      <c r="P126" s="17"/>
      <c r="Q126" s="17"/>
      <c r="R126" s="17"/>
      <c r="S126" s="15"/>
      <c r="T126" s="25">
        <v>45809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 t="s">
        <v>326</v>
      </c>
      <c r="D127" s="106" t="s">
        <v>322</v>
      </c>
      <c r="E127" s="15" t="s">
        <v>38</v>
      </c>
      <c r="F127" s="16"/>
      <c r="G127" s="12" t="s">
        <v>178</v>
      </c>
      <c r="H127" s="15"/>
      <c r="I127" s="15"/>
      <c r="J127" s="15"/>
      <c r="K127" s="15"/>
      <c r="L127" s="17"/>
      <c r="M127" s="17"/>
      <c r="N127" s="13">
        <v>1</v>
      </c>
      <c r="O127" s="17"/>
      <c r="P127" s="17"/>
      <c r="Q127" s="17"/>
      <c r="R127" s="17"/>
      <c r="S127" s="15"/>
      <c r="T127" s="25">
        <v>45816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 t="s">
        <v>327</v>
      </c>
      <c r="D128" s="106" t="s">
        <v>322</v>
      </c>
      <c r="E128" s="15" t="s">
        <v>38</v>
      </c>
      <c r="F128" s="16"/>
      <c r="G128" s="12" t="s">
        <v>178</v>
      </c>
      <c r="H128" s="13"/>
      <c r="I128" s="15"/>
      <c r="J128" s="15"/>
      <c r="K128" s="15"/>
      <c r="L128" s="17"/>
      <c r="M128" s="17"/>
      <c r="N128" s="13">
        <v>1</v>
      </c>
      <c r="O128" s="17"/>
      <c r="P128" s="17"/>
      <c r="Q128" s="17"/>
      <c r="R128" s="17"/>
      <c r="S128" s="15"/>
      <c r="T128" s="25">
        <v>45809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 t="s">
        <v>328</v>
      </c>
      <c r="D129" s="106" t="s">
        <v>322</v>
      </c>
      <c r="E129" s="15" t="s">
        <v>38</v>
      </c>
      <c r="F129" s="16"/>
      <c r="G129" s="12" t="s">
        <v>178</v>
      </c>
      <c r="H129" s="15"/>
      <c r="I129" s="15"/>
      <c r="J129" s="15"/>
      <c r="K129" s="15"/>
      <c r="L129" s="17"/>
      <c r="M129" s="17"/>
      <c r="N129" s="13">
        <v>1</v>
      </c>
      <c r="O129" s="17"/>
      <c r="P129" s="17"/>
      <c r="Q129" s="17"/>
      <c r="R129" s="17"/>
      <c r="S129" s="15"/>
      <c r="T129" s="25">
        <v>45809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 t="s">
        <v>329</v>
      </c>
      <c r="D130" s="106" t="s">
        <v>322</v>
      </c>
      <c r="E130" s="15" t="s">
        <v>38</v>
      </c>
      <c r="F130" s="16"/>
      <c r="G130" s="12" t="s">
        <v>178</v>
      </c>
      <c r="H130" s="15"/>
      <c r="I130" s="15"/>
      <c r="J130" s="15"/>
      <c r="K130" s="15"/>
      <c r="L130" s="17"/>
      <c r="M130" s="17"/>
      <c r="N130" s="13">
        <v>1</v>
      </c>
      <c r="O130" s="17"/>
      <c r="P130" s="17"/>
      <c r="Q130" s="17"/>
      <c r="R130" s="17"/>
      <c r="S130" s="15"/>
      <c r="T130" s="25">
        <v>45809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 t="s">
        <v>330</v>
      </c>
      <c r="D131" s="106" t="s">
        <v>322</v>
      </c>
      <c r="E131" s="15" t="s">
        <v>38</v>
      </c>
      <c r="F131" s="16"/>
      <c r="G131" s="12" t="s">
        <v>178</v>
      </c>
      <c r="H131" s="15"/>
      <c r="I131" s="15"/>
      <c r="J131" s="15"/>
      <c r="K131" s="15"/>
      <c r="L131" s="17"/>
      <c r="M131" s="17"/>
      <c r="N131" s="13">
        <v>1</v>
      </c>
      <c r="O131" s="17"/>
      <c r="P131" s="17"/>
      <c r="Q131" s="17"/>
      <c r="R131" s="17"/>
      <c r="S131" s="86"/>
      <c r="T131" s="25">
        <v>45809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 t="s">
        <v>331</v>
      </c>
      <c r="D132" s="106" t="s">
        <v>322</v>
      </c>
      <c r="E132" s="15" t="s">
        <v>38</v>
      </c>
      <c r="F132" s="16"/>
      <c r="G132" s="12" t="s">
        <v>178</v>
      </c>
      <c r="H132" s="15"/>
      <c r="I132" s="15"/>
      <c r="J132" s="15"/>
      <c r="K132" s="15"/>
      <c r="L132" s="17"/>
      <c r="M132" s="17"/>
      <c r="N132" s="13">
        <v>1</v>
      </c>
      <c r="O132" s="17"/>
      <c r="P132" s="17"/>
      <c r="Q132" s="17"/>
      <c r="R132" s="17"/>
      <c r="S132" s="15"/>
      <c r="T132" s="25">
        <v>45816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 t="s">
        <v>332</v>
      </c>
      <c r="D133" s="106" t="s">
        <v>322</v>
      </c>
      <c r="E133" s="15" t="s">
        <v>44</v>
      </c>
      <c r="F133" s="16"/>
      <c r="G133" s="12" t="s">
        <v>178</v>
      </c>
      <c r="H133" s="15"/>
      <c r="I133" s="15"/>
      <c r="J133" s="15"/>
      <c r="K133" s="15"/>
      <c r="L133" s="17"/>
      <c r="M133" s="17"/>
      <c r="N133" s="13">
        <v>1</v>
      </c>
      <c r="O133" s="17"/>
      <c r="P133" s="17"/>
      <c r="Q133" s="17"/>
      <c r="R133" s="17"/>
      <c r="S133" s="15"/>
      <c r="T133" s="25">
        <v>45816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 t="s">
        <v>333</v>
      </c>
      <c r="D134" s="106" t="s">
        <v>322</v>
      </c>
      <c r="E134" s="15" t="s">
        <v>44</v>
      </c>
      <c r="F134" s="16"/>
      <c r="G134" s="12" t="s">
        <v>178</v>
      </c>
      <c r="H134" s="15"/>
      <c r="I134" s="15"/>
      <c r="J134" s="15"/>
      <c r="K134" s="15"/>
      <c r="L134" s="17"/>
      <c r="M134" s="17"/>
      <c r="N134" s="13">
        <v>1</v>
      </c>
      <c r="O134" s="17"/>
      <c r="P134" s="17"/>
      <c r="Q134" s="17"/>
      <c r="R134" s="17"/>
      <c r="S134" s="15"/>
      <c r="T134" s="25">
        <v>45816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 t="s">
        <v>334</v>
      </c>
      <c r="D135" s="106" t="s">
        <v>322</v>
      </c>
      <c r="E135" s="15" t="s">
        <v>44</v>
      </c>
      <c r="F135" s="16"/>
      <c r="G135" s="12" t="s">
        <v>178</v>
      </c>
      <c r="H135" s="15"/>
      <c r="I135" s="15"/>
      <c r="J135" s="15"/>
      <c r="K135" s="15"/>
      <c r="L135" s="17"/>
      <c r="M135" s="17"/>
      <c r="N135" s="13">
        <v>1</v>
      </c>
      <c r="O135" s="17"/>
      <c r="P135" s="17"/>
      <c r="Q135" s="17"/>
      <c r="R135" s="17"/>
      <c r="S135" s="15"/>
      <c r="T135" s="25">
        <v>45809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 t="s">
        <v>335</v>
      </c>
      <c r="D136" s="106" t="s">
        <v>322</v>
      </c>
      <c r="E136" s="15" t="s">
        <v>44</v>
      </c>
      <c r="F136" s="16"/>
      <c r="G136" s="12" t="s">
        <v>178</v>
      </c>
      <c r="H136" s="15"/>
      <c r="I136" s="15"/>
      <c r="J136" s="15"/>
      <c r="K136" s="15"/>
      <c r="L136" s="17"/>
      <c r="M136" s="17"/>
      <c r="N136" s="13">
        <v>1</v>
      </c>
      <c r="O136" s="17"/>
      <c r="P136" s="17"/>
      <c r="Q136" s="17"/>
      <c r="R136" s="17"/>
      <c r="S136" s="15"/>
      <c r="T136" s="25">
        <v>45809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 t="s">
        <v>336</v>
      </c>
      <c r="D137" s="106" t="s">
        <v>322</v>
      </c>
      <c r="E137" s="15" t="s">
        <v>44</v>
      </c>
      <c r="F137" s="16"/>
      <c r="G137" s="12" t="s">
        <v>178</v>
      </c>
      <c r="H137" s="15"/>
      <c r="I137" s="15"/>
      <c r="J137" s="15"/>
      <c r="K137" s="15"/>
      <c r="L137" s="17"/>
      <c r="M137" s="17"/>
      <c r="N137" s="13">
        <v>1</v>
      </c>
      <c r="O137" s="17"/>
      <c r="P137" s="17"/>
      <c r="Q137" s="17"/>
      <c r="R137" s="17"/>
      <c r="S137" s="15"/>
      <c r="T137" s="25">
        <v>45809</v>
      </c>
      <c r="U137" s="13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 t="s">
        <v>337</v>
      </c>
      <c r="D138" s="106" t="s">
        <v>322</v>
      </c>
      <c r="E138" s="15" t="s">
        <v>44</v>
      </c>
      <c r="F138" s="16"/>
      <c r="G138" s="12" t="s">
        <v>178</v>
      </c>
      <c r="H138" s="15"/>
      <c r="I138" s="15"/>
      <c r="J138" s="18"/>
      <c r="K138" s="15"/>
      <c r="L138" s="19"/>
      <c r="M138" s="19"/>
      <c r="N138" s="13">
        <v>1</v>
      </c>
      <c r="O138" s="19"/>
      <c r="P138" s="19"/>
      <c r="Q138" s="19"/>
      <c r="R138" s="19"/>
      <c r="S138" s="15"/>
      <c r="T138" s="25">
        <v>45809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5" t="s">
        <v>338</v>
      </c>
      <c r="D139" s="106" t="s">
        <v>322</v>
      </c>
      <c r="E139" s="15" t="s">
        <v>44</v>
      </c>
      <c r="F139" s="16"/>
      <c r="G139" s="12" t="s">
        <v>178</v>
      </c>
      <c r="H139" s="15"/>
      <c r="I139" s="15"/>
      <c r="J139" s="18"/>
      <c r="K139" s="15"/>
      <c r="L139" s="19"/>
      <c r="M139" s="19"/>
      <c r="N139" s="13">
        <v>1</v>
      </c>
      <c r="O139" s="19"/>
      <c r="P139" s="19"/>
      <c r="Q139" s="19"/>
      <c r="R139" s="19"/>
      <c r="S139" s="15"/>
      <c r="T139" s="26">
        <v>45809</v>
      </c>
      <c r="U139" s="13" t="s">
        <v>147</v>
      </c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5" t="s">
        <v>339</v>
      </c>
      <c r="D140" s="106" t="s">
        <v>322</v>
      </c>
      <c r="E140" s="15" t="s">
        <v>44</v>
      </c>
      <c r="F140" s="16"/>
      <c r="G140" s="12" t="s">
        <v>178</v>
      </c>
      <c r="H140" s="15"/>
      <c r="I140" s="15"/>
      <c r="J140" s="18"/>
      <c r="K140" s="15"/>
      <c r="L140" s="19"/>
      <c r="M140" s="19"/>
      <c r="N140" s="13">
        <v>1</v>
      </c>
      <c r="O140" s="19"/>
      <c r="P140" s="19"/>
      <c r="Q140" s="19"/>
      <c r="R140" s="19"/>
      <c r="S140" s="15"/>
      <c r="T140" s="26">
        <v>45809</v>
      </c>
      <c r="U140" s="13" t="s">
        <v>147</v>
      </c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18</v>
      </c>
      <c r="D148" s="112"/>
      <c r="E148" s="29"/>
      <c r="F148" s="29" t="s">
        <v>34</v>
      </c>
      <c r="G148" s="29">
        <f>COUNTIF(G123:G147,"S")</f>
        <v>18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0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18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AYG107</v>
      </c>
      <c r="B151" s="24">
        <f>B1</f>
        <v>45771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189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24.2</v>
      </c>
      <c r="C153" s="85" t="s">
        <v>247</v>
      </c>
      <c r="D153" s="109" t="s">
        <v>205</v>
      </c>
      <c r="E153" s="13" t="s">
        <v>40</v>
      </c>
      <c r="F153" s="14"/>
      <c r="G153" s="12" t="s">
        <v>178</v>
      </c>
      <c r="H153" s="13"/>
      <c r="I153" s="13"/>
      <c r="J153" s="13"/>
      <c r="K153" s="13"/>
      <c r="L153" s="13"/>
      <c r="M153" s="13"/>
      <c r="N153" s="13"/>
      <c r="O153" s="13">
        <v>1</v>
      </c>
      <c r="P153" s="13">
        <v>1</v>
      </c>
      <c r="Q153" s="13"/>
      <c r="R153" s="13"/>
      <c r="S153" s="13"/>
      <c r="T153" s="26">
        <v>45796</v>
      </c>
      <c r="U153" s="13" t="s">
        <v>148</v>
      </c>
      <c r="V153">
        <v>1</v>
      </c>
      <c r="X153" s="51" t="s">
        <v>106</v>
      </c>
      <c r="Y153" s="52">
        <f>COUNTIF(U153:U177,"K")</f>
        <v>5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248</v>
      </c>
      <c r="D154" s="109" t="s">
        <v>186</v>
      </c>
      <c r="E154" s="13" t="s">
        <v>37</v>
      </c>
      <c r="F154" s="16"/>
      <c r="G154" s="12" t="s">
        <v>178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6">
        <v>45806</v>
      </c>
      <c r="U154" s="13" t="s">
        <v>146</v>
      </c>
      <c r="V154">
        <v>2</v>
      </c>
      <c r="X154" s="51" t="s">
        <v>107</v>
      </c>
      <c r="Y154" s="52">
        <f>COUNTIF(U153:U177,"R")</f>
        <v>5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249</v>
      </c>
      <c r="D155" s="106" t="s">
        <v>186</v>
      </c>
      <c r="E155" s="106" t="s">
        <v>74</v>
      </c>
      <c r="F155" s="16"/>
      <c r="G155" s="12" t="s">
        <v>178</v>
      </c>
      <c r="H155" s="13"/>
      <c r="I155" s="15"/>
      <c r="J155" s="13"/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5">
        <v>45806</v>
      </c>
      <c r="U155" s="13" t="s">
        <v>146</v>
      </c>
      <c r="V155">
        <v>3</v>
      </c>
      <c r="X155" s="53" t="s">
        <v>108</v>
      </c>
      <c r="Y155" s="54">
        <f>COUNTIF(U153:U177,"J")</f>
        <v>6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250</v>
      </c>
      <c r="D156" s="106" t="s">
        <v>186</v>
      </c>
      <c r="E156" s="106" t="s">
        <v>74</v>
      </c>
      <c r="F156" s="16"/>
      <c r="G156" s="12" t="s">
        <v>178</v>
      </c>
      <c r="H156" s="15"/>
      <c r="I156" s="15"/>
      <c r="J156" s="13"/>
      <c r="K156" s="15"/>
      <c r="L156" s="13"/>
      <c r="M156" s="17"/>
      <c r="N156" s="17">
        <v>1</v>
      </c>
      <c r="O156" s="17"/>
      <c r="P156" s="17"/>
      <c r="Q156" s="17">
        <v>1</v>
      </c>
      <c r="R156" s="17"/>
      <c r="S156" s="15"/>
      <c r="T156" s="25">
        <v>45806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251</v>
      </c>
      <c r="D157" s="106" t="s">
        <v>186</v>
      </c>
      <c r="E157" s="106" t="s">
        <v>74</v>
      </c>
      <c r="F157" s="16"/>
      <c r="G157" s="12" t="s">
        <v>178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5">
        <v>45836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252</v>
      </c>
      <c r="D158" s="106" t="s">
        <v>186</v>
      </c>
      <c r="E158" s="106" t="s">
        <v>40</v>
      </c>
      <c r="F158" s="16"/>
      <c r="G158" s="12" t="s">
        <v>178</v>
      </c>
      <c r="H158" s="13"/>
      <c r="I158" s="15"/>
      <c r="J158" s="13"/>
      <c r="K158" s="15"/>
      <c r="L158" s="13"/>
      <c r="M158" s="17"/>
      <c r="N158" s="17"/>
      <c r="O158" s="17">
        <v>1</v>
      </c>
      <c r="P158" s="17">
        <v>1</v>
      </c>
      <c r="Q158" s="17">
        <v>1</v>
      </c>
      <c r="R158" s="17">
        <v>1</v>
      </c>
      <c r="S158" s="15"/>
      <c r="T158" s="25">
        <v>45836</v>
      </c>
      <c r="U158" s="13" t="s">
        <v>148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253</v>
      </c>
      <c r="D159" s="106" t="s">
        <v>179</v>
      </c>
      <c r="E159" s="106" t="s">
        <v>36</v>
      </c>
      <c r="F159" s="16"/>
      <c r="G159" s="12" t="s">
        <v>178</v>
      </c>
      <c r="H159" s="15"/>
      <c r="I159" s="15"/>
      <c r="J159" s="13"/>
      <c r="K159" s="15"/>
      <c r="L159" s="13"/>
      <c r="M159" s="17">
        <v>1</v>
      </c>
      <c r="N159" s="17"/>
      <c r="O159" s="17"/>
      <c r="P159" s="17"/>
      <c r="Q159" s="17">
        <v>1</v>
      </c>
      <c r="R159" s="17"/>
      <c r="S159" s="15"/>
      <c r="T159" s="25">
        <v>45805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254</v>
      </c>
      <c r="D160" s="106" t="s">
        <v>179</v>
      </c>
      <c r="E160" s="106" t="s">
        <v>40</v>
      </c>
      <c r="F160" s="16"/>
      <c r="G160" s="12" t="s">
        <v>178</v>
      </c>
      <c r="H160" s="15"/>
      <c r="I160" s="15"/>
      <c r="J160" s="13"/>
      <c r="K160" s="15"/>
      <c r="L160" s="13"/>
      <c r="M160" s="17"/>
      <c r="N160" s="17"/>
      <c r="O160" s="17"/>
      <c r="P160" s="17">
        <v>1</v>
      </c>
      <c r="Q160" s="17">
        <v>1</v>
      </c>
      <c r="R160" s="17"/>
      <c r="S160" s="15"/>
      <c r="T160" s="25">
        <v>45805</v>
      </c>
      <c r="U160" s="13" t="s">
        <v>148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255</v>
      </c>
      <c r="D161" s="106" t="s">
        <v>179</v>
      </c>
      <c r="E161" s="106" t="s">
        <v>40</v>
      </c>
      <c r="F161" s="16"/>
      <c r="G161" s="12" t="s">
        <v>178</v>
      </c>
      <c r="H161" s="15"/>
      <c r="I161" s="15"/>
      <c r="J161" s="13"/>
      <c r="K161" s="15"/>
      <c r="L161" s="13"/>
      <c r="M161" s="17"/>
      <c r="N161" s="17"/>
      <c r="O161" s="17">
        <v>1</v>
      </c>
      <c r="P161" s="17">
        <v>1</v>
      </c>
      <c r="Q161" s="17"/>
      <c r="R161" s="17"/>
      <c r="S161" s="15"/>
      <c r="T161" s="25">
        <v>45809</v>
      </c>
      <c r="U161" s="13" t="s">
        <v>148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256</v>
      </c>
      <c r="D162" s="106" t="s">
        <v>184</v>
      </c>
      <c r="E162" s="106" t="s">
        <v>40</v>
      </c>
      <c r="F162" s="106"/>
      <c r="G162" s="12" t="s">
        <v>178</v>
      </c>
      <c r="H162" s="15"/>
      <c r="I162" s="15"/>
      <c r="J162" s="13"/>
      <c r="K162" s="15"/>
      <c r="L162" s="13"/>
      <c r="M162" s="17"/>
      <c r="N162" s="17"/>
      <c r="O162" s="17">
        <v>1</v>
      </c>
      <c r="P162" s="17">
        <v>1</v>
      </c>
      <c r="Q162" s="17"/>
      <c r="R162" s="17"/>
      <c r="S162" s="15"/>
      <c r="T162" s="25">
        <v>45805</v>
      </c>
      <c r="U162" s="13" t="s">
        <v>148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257</v>
      </c>
      <c r="D163" s="106" t="s">
        <v>258</v>
      </c>
      <c r="E163" s="106" t="s">
        <v>37</v>
      </c>
      <c r="F163" s="16"/>
      <c r="G163" s="12" t="s">
        <v>178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45808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259</v>
      </c>
      <c r="D164" s="106" t="s">
        <v>177</v>
      </c>
      <c r="E164" s="106" t="s">
        <v>74</v>
      </c>
      <c r="F164" s="16"/>
      <c r="G164" s="12" t="s">
        <v>178</v>
      </c>
      <c r="H164" s="15"/>
      <c r="I164" s="15"/>
      <c r="J164" s="15"/>
      <c r="K164" s="15"/>
      <c r="L164" s="17"/>
      <c r="M164" s="17">
        <v>1</v>
      </c>
      <c r="N164" s="17"/>
      <c r="O164" s="17"/>
      <c r="P164" s="17"/>
      <c r="Q164" s="17"/>
      <c r="R164" s="17"/>
      <c r="S164" s="15"/>
      <c r="T164" s="25">
        <v>45806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260</v>
      </c>
      <c r="D165" s="106" t="s">
        <v>261</v>
      </c>
      <c r="E165" s="106" t="s">
        <v>74</v>
      </c>
      <c r="F165" s="16"/>
      <c r="G165" s="12" t="s">
        <v>178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45810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 t="s">
        <v>262</v>
      </c>
      <c r="D166" s="106" t="s">
        <v>196</v>
      </c>
      <c r="E166" s="106" t="s">
        <v>133</v>
      </c>
      <c r="F166" s="16"/>
      <c r="G166" s="12" t="s">
        <v>239</v>
      </c>
      <c r="H166" s="15"/>
      <c r="I166" s="15"/>
      <c r="J166" s="15"/>
      <c r="K166" s="15"/>
      <c r="L166" s="17"/>
      <c r="M166" s="17"/>
      <c r="N166" s="17"/>
      <c r="O166" s="17">
        <v>1</v>
      </c>
      <c r="P166" s="17">
        <v>1</v>
      </c>
      <c r="Q166" s="17"/>
      <c r="R166" s="17">
        <v>1</v>
      </c>
      <c r="S166" s="15"/>
      <c r="T166" s="25">
        <v>45809</v>
      </c>
      <c r="U166" s="13" t="s">
        <v>148</v>
      </c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 t="s">
        <v>263</v>
      </c>
      <c r="D167" s="106" t="s">
        <v>196</v>
      </c>
      <c r="E167" s="106" t="s">
        <v>36</v>
      </c>
      <c r="F167" s="16"/>
      <c r="G167" s="12" t="s">
        <v>178</v>
      </c>
      <c r="H167" s="15"/>
      <c r="I167" s="15"/>
      <c r="J167" s="15">
        <v>1</v>
      </c>
      <c r="K167" s="15">
        <v>1</v>
      </c>
      <c r="L167" s="17"/>
      <c r="M167" s="17"/>
      <c r="N167" s="17"/>
      <c r="O167" s="17"/>
      <c r="P167" s="17"/>
      <c r="Q167" s="17"/>
      <c r="R167" s="17"/>
      <c r="S167" s="15"/>
      <c r="T167" s="25">
        <v>45809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 t="s">
        <v>264</v>
      </c>
      <c r="D168" s="106" t="s">
        <v>185</v>
      </c>
      <c r="E168" s="106" t="s">
        <v>37</v>
      </c>
      <c r="F168" s="16"/>
      <c r="G168" s="12" t="s">
        <v>178</v>
      </c>
      <c r="H168" s="15"/>
      <c r="I168" s="15"/>
      <c r="J168" s="18"/>
      <c r="K168" s="15"/>
      <c r="L168" s="19"/>
      <c r="M168" s="19"/>
      <c r="N168" s="19">
        <v>1</v>
      </c>
      <c r="O168" s="19"/>
      <c r="P168" s="19"/>
      <c r="Q168" s="19"/>
      <c r="R168" s="19"/>
      <c r="S168" s="15"/>
      <c r="T168" s="25">
        <v>45809</v>
      </c>
      <c r="U168" s="13" t="s">
        <v>147</v>
      </c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4</v>
      </c>
      <c r="K178" s="29">
        <f t="shared" ref="K178" si="24">SUM(K153:K177)</f>
        <v>5</v>
      </c>
      <c r="L178" s="29">
        <f t="shared" ref="L178" si="25">SUM(L153:L177)</f>
        <v>0</v>
      </c>
      <c r="M178" s="29">
        <f t="shared" ref="M178" si="26">SUM(M153:M177)</f>
        <v>2</v>
      </c>
      <c r="N178" s="29">
        <f t="shared" ref="N178" si="27">SUM(N153:N177)</f>
        <v>2</v>
      </c>
      <c r="O178" s="29">
        <f t="shared" ref="O178" si="28">SUM(O153:O177)</f>
        <v>5</v>
      </c>
      <c r="P178" s="29">
        <f t="shared" ref="P178" si="29">SUM(P153:P177)</f>
        <v>6</v>
      </c>
      <c r="Q178" s="29">
        <f t="shared" ref="Q178" si="30">SUM(Q153:Q177)</f>
        <v>4</v>
      </c>
      <c r="R178" s="29">
        <f t="shared" ref="R178" si="31">SUM(R153:R177)</f>
        <v>2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1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183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22.6</v>
      </c>
      <c r="C183" s="85" t="s">
        <v>217</v>
      </c>
      <c r="D183" s="110" t="s">
        <v>192</v>
      </c>
      <c r="E183" s="18" t="s">
        <v>41</v>
      </c>
      <c r="F183" s="16"/>
      <c r="G183" s="18" t="s">
        <v>178</v>
      </c>
      <c r="H183" s="15" t="s">
        <v>147</v>
      </c>
      <c r="I183" s="15"/>
      <c r="J183" s="18"/>
      <c r="K183" s="15"/>
      <c r="L183" s="19"/>
      <c r="M183" s="19"/>
      <c r="N183" s="19"/>
      <c r="O183" s="19"/>
      <c r="P183" s="19"/>
      <c r="Q183" s="19"/>
      <c r="R183" s="19"/>
      <c r="S183" s="15"/>
      <c r="T183" s="25">
        <v>45799</v>
      </c>
      <c r="U183" s="15" t="s">
        <v>147</v>
      </c>
      <c r="V183">
        <v>1</v>
      </c>
      <c r="X183" s="51" t="s">
        <v>106</v>
      </c>
      <c r="Y183" s="52">
        <f>COUNTIF(U183:U207,"K")</f>
        <v>10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218</v>
      </c>
      <c r="D184" s="110" t="s">
        <v>192</v>
      </c>
      <c r="E184" s="15" t="s">
        <v>41</v>
      </c>
      <c r="F184" s="16"/>
      <c r="G184" s="18" t="s">
        <v>178</v>
      </c>
      <c r="H184" s="15"/>
      <c r="I184" s="15"/>
      <c r="J184" s="18">
        <v>1</v>
      </c>
      <c r="K184" s="15"/>
      <c r="L184" s="19"/>
      <c r="M184" s="19"/>
      <c r="N184" s="19"/>
      <c r="O184" s="19"/>
      <c r="P184" s="19"/>
      <c r="Q184" s="19"/>
      <c r="R184" s="19"/>
      <c r="S184" s="15"/>
      <c r="T184" s="25">
        <v>45799</v>
      </c>
      <c r="U184" s="15" t="s">
        <v>146</v>
      </c>
      <c r="V184">
        <v>2</v>
      </c>
      <c r="X184" s="51" t="s">
        <v>107</v>
      </c>
      <c r="Y184" s="52">
        <f>COUNTIF(U183:U207,"R")</f>
        <v>1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219</v>
      </c>
      <c r="D185" s="110" t="s">
        <v>192</v>
      </c>
      <c r="E185" s="15" t="s">
        <v>74</v>
      </c>
      <c r="F185" s="16"/>
      <c r="G185" s="18" t="s">
        <v>178</v>
      </c>
      <c r="H185" s="15"/>
      <c r="I185" s="15"/>
      <c r="J185" s="15">
        <v>1</v>
      </c>
      <c r="K185" s="15">
        <v>1</v>
      </c>
      <c r="L185" s="17"/>
      <c r="M185" s="17"/>
      <c r="N185" s="17"/>
      <c r="O185" s="17"/>
      <c r="P185" s="17"/>
      <c r="Q185" s="17"/>
      <c r="R185" s="17"/>
      <c r="S185" s="15"/>
      <c r="T185" s="25">
        <v>45799</v>
      </c>
      <c r="U185" s="15" t="s">
        <v>146</v>
      </c>
      <c r="V185">
        <v>3</v>
      </c>
      <c r="X185" s="53" t="s">
        <v>108</v>
      </c>
      <c r="Y185" s="54">
        <f>COUNTIF(U183:U207,"J")</f>
        <v>4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220</v>
      </c>
      <c r="D186" s="110" t="s">
        <v>192</v>
      </c>
      <c r="E186" s="15" t="s">
        <v>41</v>
      </c>
      <c r="F186" s="16"/>
      <c r="G186" s="18" t="s">
        <v>178</v>
      </c>
      <c r="H186" s="15"/>
      <c r="I186" s="15"/>
      <c r="J186" s="15">
        <v>1</v>
      </c>
      <c r="K186" s="15"/>
      <c r="L186" s="17"/>
      <c r="M186" s="17"/>
      <c r="N186" s="17"/>
      <c r="O186" s="17"/>
      <c r="P186" s="17"/>
      <c r="Q186" s="17"/>
      <c r="R186" s="17"/>
      <c r="S186" s="15"/>
      <c r="T186" s="25">
        <v>45799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221</v>
      </c>
      <c r="D187" s="106" t="s">
        <v>179</v>
      </c>
      <c r="E187" s="13" t="s">
        <v>36</v>
      </c>
      <c r="F187" s="16"/>
      <c r="G187" s="18" t="s">
        <v>178</v>
      </c>
      <c r="H187" s="15"/>
      <c r="I187" s="15"/>
      <c r="J187" s="15">
        <v>1</v>
      </c>
      <c r="K187" s="15">
        <v>1</v>
      </c>
      <c r="L187" s="17"/>
      <c r="M187" s="17"/>
      <c r="N187" s="17"/>
      <c r="O187" s="17"/>
      <c r="P187" s="17"/>
      <c r="Q187" s="17"/>
      <c r="R187" s="17"/>
      <c r="S187" s="15"/>
      <c r="T187" s="25">
        <v>45785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222</v>
      </c>
      <c r="D188" s="106" t="s">
        <v>190</v>
      </c>
      <c r="E188" s="13" t="s">
        <v>39</v>
      </c>
      <c r="F188" s="16"/>
      <c r="G188" s="18" t="s">
        <v>178</v>
      </c>
      <c r="H188" s="13"/>
      <c r="I188" s="15"/>
      <c r="J188" s="15">
        <v>1</v>
      </c>
      <c r="K188" s="15"/>
      <c r="L188" s="17"/>
      <c r="M188" s="17"/>
      <c r="N188" s="17"/>
      <c r="O188" s="17"/>
      <c r="P188" s="17"/>
      <c r="Q188" s="17"/>
      <c r="R188" s="17"/>
      <c r="S188" s="15"/>
      <c r="T188" s="25">
        <v>45805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 t="s">
        <v>223</v>
      </c>
      <c r="D189" s="106" t="s">
        <v>190</v>
      </c>
      <c r="E189" s="13" t="s">
        <v>39</v>
      </c>
      <c r="F189" s="16"/>
      <c r="G189" s="18" t="s">
        <v>178</v>
      </c>
      <c r="H189" s="15"/>
      <c r="I189" s="15"/>
      <c r="J189" s="15">
        <v>1</v>
      </c>
      <c r="K189" s="15"/>
      <c r="L189" s="17"/>
      <c r="M189" s="17"/>
      <c r="N189" s="17"/>
      <c r="O189" s="17"/>
      <c r="P189" s="17"/>
      <c r="Q189" s="17"/>
      <c r="R189" s="17"/>
      <c r="S189" s="15"/>
      <c r="T189" s="25">
        <v>45805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 t="s">
        <v>224</v>
      </c>
      <c r="D190" s="106" t="s">
        <v>232</v>
      </c>
      <c r="E190" s="13" t="s">
        <v>39</v>
      </c>
      <c r="F190" s="16"/>
      <c r="G190" s="18" t="s">
        <v>178</v>
      </c>
      <c r="H190" s="15"/>
      <c r="I190" s="15"/>
      <c r="J190" s="15">
        <v>1</v>
      </c>
      <c r="K190" s="15"/>
      <c r="L190" s="17"/>
      <c r="M190" s="17"/>
      <c r="N190" s="17"/>
      <c r="O190" s="17"/>
      <c r="P190" s="17"/>
      <c r="Q190" s="17"/>
      <c r="R190" s="17"/>
      <c r="S190" s="15"/>
      <c r="T190" s="25">
        <v>45804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 t="s">
        <v>225</v>
      </c>
      <c r="D191" s="106" t="s">
        <v>232</v>
      </c>
      <c r="E191" s="13" t="s">
        <v>133</v>
      </c>
      <c r="F191" s="16"/>
      <c r="G191" s="18" t="s">
        <v>178</v>
      </c>
      <c r="H191" s="15"/>
      <c r="I191" s="15"/>
      <c r="J191" s="15"/>
      <c r="K191" s="15"/>
      <c r="L191" s="17"/>
      <c r="M191" s="17"/>
      <c r="N191" s="17"/>
      <c r="O191" s="17">
        <v>1</v>
      </c>
      <c r="P191" s="17">
        <v>1</v>
      </c>
      <c r="Q191" s="17">
        <v>1</v>
      </c>
      <c r="R191" s="17">
        <v>1</v>
      </c>
      <c r="S191" s="15"/>
      <c r="T191" s="25">
        <v>45804</v>
      </c>
      <c r="U191" s="25" t="s">
        <v>148</v>
      </c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 t="s">
        <v>226</v>
      </c>
      <c r="D192" s="106" t="s">
        <v>232</v>
      </c>
      <c r="E192" s="13" t="s">
        <v>39</v>
      </c>
      <c r="F192" s="16"/>
      <c r="G192" s="18" t="s">
        <v>178</v>
      </c>
      <c r="H192" s="15"/>
      <c r="I192" s="15"/>
      <c r="J192" s="15">
        <v>1</v>
      </c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45804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 t="s">
        <v>227</v>
      </c>
      <c r="D193" s="106" t="s">
        <v>232</v>
      </c>
      <c r="E193" s="13" t="s">
        <v>133</v>
      </c>
      <c r="F193" s="16"/>
      <c r="G193" s="18" t="s">
        <v>178</v>
      </c>
      <c r="H193" s="15"/>
      <c r="I193" s="15"/>
      <c r="J193" s="15"/>
      <c r="K193" s="15"/>
      <c r="L193" s="17"/>
      <c r="M193" s="17"/>
      <c r="N193" s="17"/>
      <c r="O193" s="17">
        <v>1</v>
      </c>
      <c r="P193" s="17">
        <v>1</v>
      </c>
      <c r="Q193" s="17">
        <v>1</v>
      </c>
      <c r="R193" s="17">
        <v>1</v>
      </c>
      <c r="S193" s="15"/>
      <c r="T193" s="25">
        <v>45804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 t="s">
        <v>228</v>
      </c>
      <c r="D194" s="106" t="s">
        <v>232</v>
      </c>
      <c r="E194" s="13" t="s">
        <v>39</v>
      </c>
      <c r="F194" s="16"/>
      <c r="G194" s="18" t="s">
        <v>178</v>
      </c>
      <c r="H194" s="15"/>
      <c r="I194" s="15"/>
      <c r="J194" s="15">
        <v>1</v>
      </c>
      <c r="K194" s="15"/>
      <c r="L194" s="17"/>
      <c r="M194" s="17"/>
      <c r="N194" s="17"/>
      <c r="O194" s="17"/>
      <c r="P194" s="17"/>
      <c r="Q194" s="17"/>
      <c r="R194" s="17"/>
      <c r="S194" s="15"/>
      <c r="T194" s="25">
        <v>45804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 t="s">
        <v>229</v>
      </c>
      <c r="D195" s="106" t="s">
        <v>232</v>
      </c>
      <c r="E195" s="15" t="s">
        <v>133</v>
      </c>
      <c r="F195" s="16"/>
      <c r="G195" s="18" t="s">
        <v>178</v>
      </c>
      <c r="H195" s="15"/>
      <c r="I195" s="15"/>
      <c r="J195" s="15"/>
      <c r="K195" s="15"/>
      <c r="L195" s="17"/>
      <c r="M195" s="17"/>
      <c r="N195" s="17"/>
      <c r="O195" s="17">
        <v>1</v>
      </c>
      <c r="P195" s="17">
        <v>1</v>
      </c>
      <c r="Q195" s="17">
        <v>1</v>
      </c>
      <c r="R195" s="17">
        <v>1</v>
      </c>
      <c r="S195" s="15"/>
      <c r="T195" s="25">
        <v>45804</v>
      </c>
      <c r="U195" s="15" t="s">
        <v>148</v>
      </c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 t="s">
        <v>230</v>
      </c>
      <c r="D196" s="106" t="s">
        <v>232</v>
      </c>
      <c r="E196" s="15" t="s">
        <v>39</v>
      </c>
      <c r="F196" s="16"/>
      <c r="G196" s="18" t="s">
        <v>178</v>
      </c>
      <c r="H196" s="15"/>
      <c r="I196" s="15"/>
      <c r="J196" s="15">
        <v>1</v>
      </c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45804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 t="s">
        <v>231</v>
      </c>
      <c r="D197" s="106" t="s">
        <v>232</v>
      </c>
      <c r="E197" s="15" t="s">
        <v>133</v>
      </c>
      <c r="F197" s="16"/>
      <c r="G197" s="15" t="s">
        <v>178</v>
      </c>
      <c r="H197" s="15"/>
      <c r="I197" s="15"/>
      <c r="J197" s="15"/>
      <c r="K197" s="15"/>
      <c r="L197" s="17"/>
      <c r="M197" s="17"/>
      <c r="N197" s="17"/>
      <c r="O197" s="17">
        <v>1</v>
      </c>
      <c r="P197" s="17">
        <v>1</v>
      </c>
      <c r="Q197" s="17">
        <v>1</v>
      </c>
      <c r="R197" s="17">
        <v>1</v>
      </c>
      <c r="S197" s="15"/>
      <c r="T197" s="25">
        <v>45804</v>
      </c>
      <c r="U197" s="15" t="s">
        <v>148</v>
      </c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10</v>
      </c>
      <c r="K208" s="29">
        <f t="shared" ref="K208" si="34">SUM(K183:K207)</f>
        <v>2</v>
      </c>
      <c r="L208" s="29">
        <f t="shared" ref="L208" si="35">SUM(L183:L207)</f>
        <v>0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4</v>
      </c>
      <c r="P208" s="29">
        <f t="shared" ref="P208" si="39">SUM(P183:P207)</f>
        <v>4</v>
      </c>
      <c r="Q208" s="29">
        <f t="shared" ref="Q208" si="40">SUM(Q183:Q207)</f>
        <v>4</v>
      </c>
      <c r="R208" s="29">
        <f t="shared" ref="R208" si="41">SUM(R183:R207)</f>
        <v>4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1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AYG107</v>
      </c>
      <c r="B211" s="24">
        <f>B1</f>
        <v>45771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>
        <v>23.6</v>
      </c>
      <c r="C213" s="85" t="s">
        <v>233</v>
      </c>
      <c r="D213" s="106" t="s">
        <v>234</v>
      </c>
      <c r="E213" s="106" t="s">
        <v>39</v>
      </c>
      <c r="F213" s="14"/>
      <c r="G213" s="12" t="s">
        <v>178</v>
      </c>
      <c r="H213" s="13"/>
      <c r="I213" s="13"/>
      <c r="J213" s="13">
        <v>1</v>
      </c>
      <c r="K213" s="13">
        <v>1</v>
      </c>
      <c r="L213" s="13"/>
      <c r="M213" s="13"/>
      <c r="N213" s="13"/>
      <c r="O213" s="13"/>
      <c r="P213" s="13"/>
      <c r="Q213" s="13"/>
      <c r="R213" s="13"/>
      <c r="S213" s="13"/>
      <c r="T213" s="25">
        <v>45804</v>
      </c>
      <c r="U213" s="13" t="s">
        <v>146</v>
      </c>
      <c r="V213">
        <v>1</v>
      </c>
      <c r="X213" s="51" t="s">
        <v>106</v>
      </c>
      <c r="Y213" s="52">
        <f>COUNTIF(U213:U237,"K")</f>
        <v>12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 t="s">
        <v>235</v>
      </c>
      <c r="D214" s="106" t="s">
        <v>234</v>
      </c>
      <c r="E214" s="106" t="s">
        <v>75</v>
      </c>
      <c r="F214" s="16"/>
      <c r="G214" s="12" t="s">
        <v>178</v>
      </c>
      <c r="H214" s="15"/>
      <c r="I214" s="15"/>
      <c r="J214" s="13"/>
      <c r="K214" s="15"/>
      <c r="L214" s="13"/>
      <c r="M214" s="17"/>
      <c r="N214" s="17"/>
      <c r="O214" s="17"/>
      <c r="P214" s="17"/>
      <c r="Q214" s="17"/>
      <c r="R214" s="17"/>
      <c r="S214" s="15">
        <v>1</v>
      </c>
      <c r="T214" s="25">
        <v>45808</v>
      </c>
      <c r="U214" s="13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 t="s">
        <v>236</v>
      </c>
      <c r="D215" s="106" t="s">
        <v>234</v>
      </c>
      <c r="E215" s="106" t="s">
        <v>58</v>
      </c>
      <c r="F215" s="16"/>
      <c r="G215" s="12" t="s">
        <v>178</v>
      </c>
      <c r="H215" s="13"/>
      <c r="I215" s="15"/>
      <c r="J215" s="13"/>
      <c r="K215" s="15"/>
      <c r="L215" s="13"/>
      <c r="M215" s="17"/>
      <c r="N215" s="17"/>
      <c r="O215" s="17"/>
      <c r="P215" s="17"/>
      <c r="Q215" s="17"/>
      <c r="R215" s="17"/>
      <c r="S215" s="15">
        <v>1</v>
      </c>
      <c r="T215" s="25">
        <v>45795</v>
      </c>
      <c r="U215" s="13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 t="s">
        <v>237</v>
      </c>
      <c r="D216" s="106" t="s">
        <v>234</v>
      </c>
      <c r="E216" s="106" t="s">
        <v>39</v>
      </c>
      <c r="F216" s="16"/>
      <c r="G216" s="12" t="s">
        <v>178</v>
      </c>
      <c r="H216" s="15"/>
      <c r="I216" s="15"/>
      <c r="J216" s="13">
        <v>1</v>
      </c>
      <c r="K216" s="15">
        <v>1</v>
      </c>
      <c r="L216" s="13"/>
      <c r="M216" s="17"/>
      <c r="N216" s="17"/>
      <c r="O216" s="17"/>
      <c r="P216" s="17"/>
      <c r="Q216" s="17"/>
      <c r="R216" s="17"/>
      <c r="S216" s="15"/>
      <c r="T216" s="25">
        <v>45804</v>
      </c>
      <c r="U216" s="13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 t="s">
        <v>238</v>
      </c>
      <c r="D217" s="106" t="s">
        <v>234</v>
      </c>
      <c r="E217" s="106" t="s">
        <v>37</v>
      </c>
      <c r="F217" s="16"/>
      <c r="G217" s="12" t="s">
        <v>178</v>
      </c>
      <c r="H217" s="15"/>
      <c r="I217" s="15"/>
      <c r="J217" s="13">
        <v>1</v>
      </c>
      <c r="K217" s="15">
        <v>1</v>
      </c>
      <c r="L217" s="13"/>
      <c r="M217" s="17"/>
      <c r="N217" s="17"/>
      <c r="O217" s="17"/>
      <c r="P217" s="17"/>
      <c r="Q217" s="17"/>
      <c r="R217" s="17"/>
      <c r="S217" s="15"/>
      <c r="T217" s="25">
        <v>45795</v>
      </c>
      <c r="U217" s="13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 t="s">
        <v>240</v>
      </c>
      <c r="D218" s="106" t="s">
        <v>181</v>
      </c>
      <c r="E218" s="106" t="s">
        <v>39</v>
      </c>
      <c r="F218" s="16"/>
      <c r="G218" s="12" t="s">
        <v>239</v>
      </c>
      <c r="H218" s="13"/>
      <c r="I218" s="15"/>
      <c r="J218" s="13">
        <v>1</v>
      </c>
      <c r="K218" s="15"/>
      <c r="L218" s="13">
        <v>1</v>
      </c>
      <c r="M218" s="17"/>
      <c r="N218" s="17"/>
      <c r="O218" s="17"/>
      <c r="P218" s="17"/>
      <c r="Q218" s="17"/>
      <c r="R218" s="17"/>
      <c r="S218" s="15"/>
      <c r="T218" s="25">
        <v>45811</v>
      </c>
      <c r="U218" s="13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5" t="s">
        <v>241</v>
      </c>
      <c r="D219" s="106" t="s">
        <v>181</v>
      </c>
      <c r="E219" s="106" t="s">
        <v>39</v>
      </c>
      <c r="F219" s="16"/>
      <c r="G219" s="12" t="s">
        <v>239</v>
      </c>
      <c r="H219" s="15"/>
      <c r="I219" s="15"/>
      <c r="J219" s="13">
        <v>1</v>
      </c>
      <c r="K219" s="15"/>
      <c r="L219" s="13">
        <v>1</v>
      </c>
      <c r="M219" s="17"/>
      <c r="N219" s="17"/>
      <c r="O219" s="17"/>
      <c r="P219" s="17"/>
      <c r="Q219" s="17"/>
      <c r="R219" s="17"/>
      <c r="S219" s="15"/>
      <c r="T219" s="25">
        <v>45811</v>
      </c>
      <c r="U219" s="13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 t="s">
        <v>242</v>
      </c>
      <c r="D220" s="106" t="s">
        <v>181</v>
      </c>
      <c r="E220" s="106" t="s">
        <v>39</v>
      </c>
      <c r="F220" s="16"/>
      <c r="G220" s="12" t="s">
        <v>239</v>
      </c>
      <c r="H220" s="15"/>
      <c r="I220" s="15"/>
      <c r="J220" s="13">
        <v>1</v>
      </c>
      <c r="K220" s="15"/>
      <c r="L220" s="13">
        <v>1</v>
      </c>
      <c r="M220" s="17"/>
      <c r="N220" s="17"/>
      <c r="O220" s="17"/>
      <c r="P220" s="17"/>
      <c r="Q220" s="17"/>
      <c r="R220" s="17"/>
      <c r="S220" s="15"/>
      <c r="T220" s="25">
        <v>45811</v>
      </c>
      <c r="U220" s="13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 t="s">
        <v>243</v>
      </c>
      <c r="D221" s="106" t="s">
        <v>181</v>
      </c>
      <c r="E221" s="106" t="s">
        <v>39</v>
      </c>
      <c r="F221" s="16"/>
      <c r="G221" s="12" t="s">
        <v>239</v>
      </c>
      <c r="H221" s="15"/>
      <c r="I221" s="15"/>
      <c r="J221" s="13">
        <v>1</v>
      </c>
      <c r="K221" s="15"/>
      <c r="L221" s="13">
        <v>1</v>
      </c>
      <c r="M221" s="17"/>
      <c r="N221" s="17"/>
      <c r="O221" s="17"/>
      <c r="P221" s="17"/>
      <c r="Q221" s="17"/>
      <c r="R221" s="17"/>
      <c r="S221" s="15"/>
      <c r="T221" s="25">
        <v>45811</v>
      </c>
      <c r="U221" s="13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 t="s">
        <v>244</v>
      </c>
      <c r="D222" s="106" t="s">
        <v>181</v>
      </c>
      <c r="E222" s="106" t="s">
        <v>39</v>
      </c>
      <c r="F222" s="106"/>
      <c r="G222" s="12" t="s">
        <v>239</v>
      </c>
      <c r="H222" s="15"/>
      <c r="I222" s="15"/>
      <c r="J222" s="13">
        <v>1</v>
      </c>
      <c r="K222" s="15"/>
      <c r="L222" s="13">
        <v>1</v>
      </c>
      <c r="M222" s="17"/>
      <c r="N222" s="17"/>
      <c r="O222" s="17"/>
      <c r="P222" s="17"/>
      <c r="Q222" s="17"/>
      <c r="R222" s="17"/>
      <c r="S222" s="15"/>
      <c r="T222" s="25">
        <v>45811</v>
      </c>
      <c r="U222" s="13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 t="s">
        <v>245</v>
      </c>
      <c r="D223" s="106" t="s">
        <v>181</v>
      </c>
      <c r="E223" s="106" t="s">
        <v>39</v>
      </c>
      <c r="F223" s="16"/>
      <c r="G223" s="12" t="s">
        <v>239</v>
      </c>
      <c r="H223" s="15"/>
      <c r="I223" s="15"/>
      <c r="J223" s="15">
        <v>1</v>
      </c>
      <c r="K223" s="15"/>
      <c r="L223" s="17">
        <v>1</v>
      </c>
      <c r="M223" s="17"/>
      <c r="N223" s="17"/>
      <c r="O223" s="17"/>
      <c r="P223" s="17"/>
      <c r="Q223" s="17"/>
      <c r="R223" s="17"/>
      <c r="S223" s="15"/>
      <c r="T223" s="25">
        <v>45811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 t="s">
        <v>246</v>
      </c>
      <c r="D224" s="106" t="s">
        <v>181</v>
      </c>
      <c r="E224" s="106" t="s">
        <v>39</v>
      </c>
      <c r="F224" s="16"/>
      <c r="G224" s="12" t="s">
        <v>239</v>
      </c>
      <c r="H224" s="15"/>
      <c r="I224" s="15"/>
      <c r="J224" s="15">
        <v>1</v>
      </c>
      <c r="K224" s="15"/>
      <c r="L224" s="17">
        <v>1</v>
      </c>
      <c r="M224" s="17"/>
      <c r="N224" s="17"/>
      <c r="O224" s="17"/>
      <c r="P224" s="17"/>
      <c r="Q224" s="17"/>
      <c r="R224" s="17"/>
      <c r="S224" s="15"/>
      <c r="T224" s="25">
        <v>45811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/>
      <c r="D225" s="106"/>
      <c r="E225" s="106"/>
      <c r="F225" s="16"/>
      <c r="G225" s="12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/>
      <c r="D226" s="106"/>
      <c r="E226" s="106"/>
      <c r="F226" s="16"/>
      <c r="G226" s="12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/>
      <c r="D227" s="106"/>
      <c r="E227" s="106"/>
      <c r="F227" s="16"/>
      <c r="G227" s="12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12</v>
      </c>
      <c r="D238" s="112"/>
      <c r="E238" s="29"/>
      <c r="F238" s="29" t="s">
        <v>34</v>
      </c>
      <c r="G238" s="29">
        <f>COUNTIF(G213:G237,"S")</f>
        <v>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10</v>
      </c>
      <c r="K238" s="29">
        <f t="shared" ref="K238" si="44">SUM(K213:K237)</f>
        <v>3</v>
      </c>
      <c r="L238" s="29">
        <f t="shared" ref="L238" si="45">SUM(L213:L237)</f>
        <v>7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2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7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22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AYG107</v>
      </c>
      <c r="B241" s="24">
        <f>B1</f>
        <v>45771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>
        <v>20.399999999999999</v>
      </c>
      <c r="C243" s="85" t="s">
        <v>340</v>
      </c>
      <c r="D243" s="109" t="s">
        <v>179</v>
      </c>
      <c r="E243" s="13" t="s">
        <v>36</v>
      </c>
      <c r="F243" s="14"/>
      <c r="G243" s="12" t="s">
        <v>178</v>
      </c>
      <c r="H243" s="13"/>
      <c r="I243" s="13"/>
      <c r="J243" s="13"/>
      <c r="K243" s="13"/>
      <c r="L243" s="13"/>
      <c r="M243" s="13">
        <v>1</v>
      </c>
      <c r="N243" s="13">
        <v>1</v>
      </c>
      <c r="O243" s="13"/>
      <c r="P243" s="13"/>
      <c r="Q243" s="13">
        <v>1</v>
      </c>
      <c r="R243" s="13"/>
      <c r="S243" s="13"/>
      <c r="T243" s="26">
        <v>45795</v>
      </c>
      <c r="U243" s="13" t="s">
        <v>147</v>
      </c>
      <c r="V243">
        <v>1</v>
      </c>
      <c r="X243" t="s">
        <v>106</v>
      </c>
      <c r="Y243">
        <f>COUNTIF(U243:U267,"K")</f>
        <v>4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 t="s">
        <v>341</v>
      </c>
      <c r="D244" s="109" t="s">
        <v>184</v>
      </c>
      <c r="E244" s="13" t="s">
        <v>39</v>
      </c>
      <c r="F244" s="16"/>
      <c r="G244" s="12" t="s">
        <v>178</v>
      </c>
      <c r="H244" s="15"/>
      <c r="I244" s="15"/>
      <c r="J244" s="15">
        <v>1</v>
      </c>
      <c r="K244" s="15">
        <v>1</v>
      </c>
      <c r="L244" s="17"/>
      <c r="M244" s="17"/>
      <c r="N244" s="17"/>
      <c r="O244" s="17"/>
      <c r="P244" s="17"/>
      <c r="Q244" s="17"/>
      <c r="R244" s="17"/>
      <c r="S244" s="15"/>
      <c r="T244" s="26">
        <v>45795</v>
      </c>
      <c r="U244" s="13" t="s">
        <v>142</v>
      </c>
      <c r="V244">
        <v>2</v>
      </c>
      <c r="X244" t="s">
        <v>107</v>
      </c>
      <c r="Y244">
        <f>COUNTIF(U243:U267,"R")</f>
        <v>11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 t="s">
        <v>342</v>
      </c>
      <c r="D245" s="109" t="s">
        <v>184</v>
      </c>
      <c r="E245" s="13" t="s">
        <v>133</v>
      </c>
      <c r="F245" s="16"/>
      <c r="G245" s="12" t="s">
        <v>178</v>
      </c>
      <c r="H245" s="15"/>
      <c r="I245" s="15"/>
      <c r="J245" s="15"/>
      <c r="K245" s="15"/>
      <c r="L245" s="17"/>
      <c r="M245" s="17"/>
      <c r="N245" s="17"/>
      <c r="O245" s="17">
        <v>1</v>
      </c>
      <c r="P245" s="17">
        <v>1</v>
      </c>
      <c r="Q245" s="17"/>
      <c r="R245" s="17">
        <v>1</v>
      </c>
      <c r="S245" s="15"/>
      <c r="T245" s="26">
        <v>45795</v>
      </c>
      <c r="U245" s="13" t="s">
        <v>148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 t="s">
        <v>343</v>
      </c>
      <c r="D246" s="109" t="s">
        <v>184</v>
      </c>
      <c r="E246" s="13" t="s">
        <v>36</v>
      </c>
      <c r="F246" s="16"/>
      <c r="G246" s="12" t="s">
        <v>178</v>
      </c>
      <c r="H246" s="15"/>
      <c r="I246" s="15"/>
      <c r="J246" s="15"/>
      <c r="K246" s="15"/>
      <c r="L246" s="17"/>
      <c r="M246" s="17"/>
      <c r="N246" s="17"/>
      <c r="O246" s="17">
        <v>1</v>
      </c>
      <c r="P246" s="17">
        <v>1</v>
      </c>
      <c r="Q246" s="17">
        <v>1</v>
      </c>
      <c r="R246" s="17"/>
      <c r="S246" s="15"/>
      <c r="T246" s="26">
        <v>45791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 t="s">
        <v>344</v>
      </c>
      <c r="D247" s="109" t="s">
        <v>184</v>
      </c>
      <c r="E247" s="13" t="s">
        <v>36</v>
      </c>
      <c r="F247" s="16"/>
      <c r="G247" s="12" t="s">
        <v>178</v>
      </c>
      <c r="H247" s="15"/>
      <c r="I247" s="15"/>
      <c r="J247" s="15"/>
      <c r="K247" s="15"/>
      <c r="L247" s="17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6">
        <v>45800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 t="s">
        <v>345</v>
      </c>
      <c r="D248" s="109" t="s">
        <v>186</v>
      </c>
      <c r="E248" s="13" t="s">
        <v>60</v>
      </c>
      <c r="F248" s="16"/>
      <c r="G248" s="12" t="s">
        <v>178</v>
      </c>
      <c r="H248" s="13"/>
      <c r="I248" s="15"/>
      <c r="J248" s="15">
        <v>1</v>
      </c>
      <c r="K248" s="15">
        <v>1</v>
      </c>
      <c r="L248" s="17"/>
      <c r="M248" s="17"/>
      <c r="N248" s="17"/>
      <c r="O248" s="17"/>
      <c r="P248" s="17"/>
      <c r="Q248" s="17"/>
      <c r="R248" s="17"/>
      <c r="S248" s="15"/>
      <c r="T248" s="26">
        <v>45821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 t="s">
        <v>346</v>
      </c>
      <c r="D249" s="109" t="s">
        <v>179</v>
      </c>
      <c r="E249" s="13" t="s">
        <v>36</v>
      </c>
      <c r="F249" s="16"/>
      <c r="G249" s="12" t="s">
        <v>178</v>
      </c>
      <c r="H249" s="15"/>
      <c r="I249" s="15"/>
      <c r="J249" s="15"/>
      <c r="K249" s="15"/>
      <c r="L249" s="17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6">
        <v>45801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 t="s">
        <v>347</v>
      </c>
      <c r="D250" s="109" t="s">
        <v>179</v>
      </c>
      <c r="E250" s="13" t="s">
        <v>36</v>
      </c>
      <c r="F250" s="16"/>
      <c r="G250" s="12" t="s">
        <v>178</v>
      </c>
      <c r="H250" s="15"/>
      <c r="I250" s="15"/>
      <c r="J250" s="15"/>
      <c r="K250" s="15"/>
      <c r="L250" s="17"/>
      <c r="M250" s="17">
        <v>1</v>
      </c>
      <c r="N250" s="17">
        <v>1</v>
      </c>
      <c r="O250" s="17"/>
      <c r="P250" s="17"/>
      <c r="Q250" s="17">
        <v>1</v>
      </c>
      <c r="R250" s="17"/>
      <c r="S250" s="15"/>
      <c r="T250" s="26">
        <v>45801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 t="s">
        <v>348</v>
      </c>
      <c r="D251" s="109" t="s">
        <v>179</v>
      </c>
      <c r="E251" s="13" t="s">
        <v>75</v>
      </c>
      <c r="F251" s="16"/>
      <c r="G251" s="12" t="s">
        <v>178</v>
      </c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45801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 t="s">
        <v>349</v>
      </c>
      <c r="D252" s="109" t="s">
        <v>206</v>
      </c>
      <c r="E252" s="13" t="s">
        <v>36</v>
      </c>
      <c r="F252" s="16"/>
      <c r="G252" s="12" t="s">
        <v>178</v>
      </c>
      <c r="H252" s="15"/>
      <c r="I252" s="15"/>
      <c r="J252" s="15">
        <v>1</v>
      </c>
      <c r="K252" s="15">
        <v>1</v>
      </c>
      <c r="L252" s="17"/>
      <c r="M252" s="17"/>
      <c r="N252" s="17"/>
      <c r="O252" s="17"/>
      <c r="P252" s="17"/>
      <c r="Q252" s="17"/>
      <c r="R252" s="17"/>
      <c r="S252" s="15"/>
      <c r="T252" s="26">
        <v>45800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 t="s">
        <v>350</v>
      </c>
      <c r="D253" s="109" t="s">
        <v>179</v>
      </c>
      <c r="E253" s="13" t="s">
        <v>36</v>
      </c>
      <c r="F253" s="16"/>
      <c r="G253" s="12" t="s">
        <v>178</v>
      </c>
      <c r="H253" s="15"/>
      <c r="I253" s="15"/>
      <c r="J253" s="15"/>
      <c r="K253" s="15"/>
      <c r="L253" s="17"/>
      <c r="M253" s="17">
        <v>1</v>
      </c>
      <c r="N253" s="17">
        <v>1</v>
      </c>
      <c r="O253" s="17"/>
      <c r="P253" s="17"/>
      <c r="Q253" s="17">
        <v>1</v>
      </c>
      <c r="R253" s="17"/>
      <c r="S253" s="15"/>
      <c r="T253" s="26">
        <v>45804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 t="s">
        <v>351</v>
      </c>
      <c r="D254" s="109" t="s">
        <v>179</v>
      </c>
      <c r="E254" s="13" t="s">
        <v>75</v>
      </c>
      <c r="F254" s="16"/>
      <c r="G254" s="12" t="s">
        <v>178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>
        <v>45798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 t="s">
        <v>352</v>
      </c>
      <c r="D255" s="109" t="s">
        <v>179</v>
      </c>
      <c r="E255" s="13" t="s">
        <v>36</v>
      </c>
      <c r="F255" s="16"/>
      <c r="G255" s="12" t="s">
        <v>178</v>
      </c>
      <c r="H255" s="15"/>
      <c r="I255" s="15"/>
      <c r="J255" s="15"/>
      <c r="K255" s="15"/>
      <c r="L255" s="17"/>
      <c r="M255" s="17">
        <v>1</v>
      </c>
      <c r="N255" s="17">
        <v>1</v>
      </c>
      <c r="O255" s="17"/>
      <c r="P255" s="17"/>
      <c r="Q255" s="17"/>
      <c r="R255" s="17"/>
      <c r="S255" s="15"/>
      <c r="T255" s="26">
        <v>45802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 t="s">
        <v>353</v>
      </c>
      <c r="D256" s="109" t="s">
        <v>179</v>
      </c>
      <c r="E256" s="13" t="s">
        <v>36</v>
      </c>
      <c r="F256" s="16"/>
      <c r="G256" s="15" t="s">
        <v>178</v>
      </c>
      <c r="H256" s="15"/>
      <c r="I256" s="15"/>
      <c r="J256" s="15"/>
      <c r="K256" s="15"/>
      <c r="L256" s="17"/>
      <c r="M256" s="17">
        <v>1</v>
      </c>
      <c r="N256" s="17">
        <v>1</v>
      </c>
      <c r="O256" s="17"/>
      <c r="P256" s="17"/>
      <c r="Q256" s="17">
        <v>1</v>
      </c>
      <c r="R256" s="17"/>
      <c r="S256" s="15"/>
      <c r="T256" s="26">
        <v>45801</v>
      </c>
      <c r="U256" s="13" t="s">
        <v>147</v>
      </c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 t="s">
        <v>354</v>
      </c>
      <c r="D257" s="109" t="s">
        <v>179</v>
      </c>
      <c r="E257" s="13" t="s">
        <v>36</v>
      </c>
      <c r="F257" s="16"/>
      <c r="G257" s="15" t="s">
        <v>178</v>
      </c>
      <c r="H257" s="15"/>
      <c r="I257" s="15"/>
      <c r="J257" s="15"/>
      <c r="K257" s="15"/>
      <c r="L257" s="17"/>
      <c r="M257" s="17">
        <v>1</v>
      </c>
      <c r="N257" s="17">
        <v>1</v>
      </c>
      <c r="O257" s="17"/>
      <c r="P257" s="17"/>
      <c r="Q257" s="17">
        <v>1</v>
      </c>
      <c r="R257" s="17"/>
      <c r="S257" s="15"/>
      <c r="T257" s="26">
        <v>45807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 t="s">
        <v>355</v>
      </c>
      <c r="D258" s="109" t="s">
        <v>179</v>
      </c>
      <c r="E258" s="15" t="s">
        <v>40</v>
      </c>
      <c r="F258" s="16"/>
      <c r="G258" s="15" t="s">
        <v>178</v>
      </c>
      <c r="H258" s="15"/>
      <c r="I258" s="15"/>
      <c r="J258" s="15"/>
      <c r="K258" s="15"/>
      <c r="L258" s="19"/>
      <c r="M258" s="19"/>
      <c r="N258" s="19"/>
      <c r="O258" s="19"/>
      <c r="P258" s="19">
        <v>1</v>
      </c>
      <c r="Q258" s="19"/>
      <c r="R258" s="19"/>
      <c r="S258" s="15"/>
      <c r="T258" s="26">
        <v>45799</v>
      </c>
      <c r="U258" s="13" t="s">
        <v>148</v>
      </c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 t="s">
        <v>356</v>
      </c>
      <c r="D259" s="110" t="s">
        <v>185</v>
      </c>
      <c r="E259" s="18" t="s">
        <v>41</v>
      </c>
      <c r="F259" s="16"/>
      <c r="G259" s="18" t="s">
        <v>178</v>
      </c>
      <c r="H259" s="15"/>
      <c r="I259" s="15"/>
      <c r="J259" s="18">
        <v>1</v>
      </c>
      <c r="K259" s="15">
        <v>1</v>
      </c>
      <c r="L259" s="19"/>
      <c r="M259" s="19"/>
      <c r="N259" s="19"/>
      <c r="O259" s="19"/>
      <c r="P259" s="19"/>
      <c r="Q259" s="19"/>
      <c r="R259" s="19"/>
      <c r="S259" s="15"/>
      <c r="T259" s="26">
        <v>45810</v>
      </c>
      <c r="U259" s="15" t="s">
        <v>146</v>
      </c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17</v>
      </c>
      <c r="D268" s="112"/>
      <c r="E268" s="29"/>
      <c r="F268" s="29" t="s">
        <v>34</v>
      </c>
      <c r="G268" s="29">
        <f>COUNTIF(G243:G267,"S")</f>
        <v>17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4</v>
      </c>
      <c r="K268" s="29">
        <f t="shared" ref="K268" si="54">SUM(K243:K267)</f>
        <v>4</v>
      </c>
      <c r="L268" s="29">
        <f t="shared" ref="L268" si="55">SUM(L243:L267)</f>
        <v>0</v>
      </c>
      <c r="M268" s="29">
        <f t="shared" ref="M268" si="56">SUM(M243:M267)</f>
        <v>8</v>
      </c>
      <c r="N268" s="29">
        <f t="shared" ref="N268" si="57">SUM(N243:N267)</f>
        <v>8</v>
      </c>
      <c r="O268" s="29">
        <f t="shared" ref="O268" si="58">SUM(O243:O267)</f>
        <v>2</v>
      </c>
      <c r="P268" s="29">
        <f t="shared" ref="P268" si="59">SUM(P243:P267)</f>
        <v>3</v>
      </c>
      <c r="Q268" s="29">
        <f t="shared" ref="Q268" si="60">SUM(Q243:Q267)</f>
        <v>8</v>
      </c>
      <c r="R268" s="29">
        <f t="shared" ref="R268" si="61">SUM(R243:R267)</f>
        <v>1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38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AYG107</v>
      </c>
      <c r="B271" s="24">
        <f>B1</f>
        <v>45771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>
        <v>18.3</v>
      </c>
      <c r="C273" s="85" t="s">
        <v>357</v>
      </c>
      <c r="D273" s="109" t="s">
        <v>185</v>
      </c>
      <c r="E273" s="13" t="s">
        <v>38</v>
      </c>
      <c r="F273" s="14"/>
      <c r="G273" s="12" t="s">
        <v>178</v>
      </c>
      <c r="H273" s="13"/>
      <c r="I273" s="13"/>
      <c r="J273" s="13">
        <v>1</v>
      </c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45782</v>
      </c>
      <c r="U273" s="13" t="s">
        <v>146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 t="s">
        <v>358</v>
      </c>
      <c r="D274" s="109" t="s">
        <v>179</v>
      </c>
      <c r="E274" s="13" t="s">
        <v>38</v>
      </c>
      <c r="F274" s="16"/>
      <c r="G274" s="12" t="s">
        <v>178</v>
      </c>
      <c r="H274" s="15"/>
      <c r="I274" s="15"/>
      <c r="J274" s="15"/>
      <c r="K274" s="15"/>
      <c r="L274" s="17"/>
      <c r="M274" s="17">
        <v>1</v>
      </c>
      <c r="N274" s="17">
        <v>1</v>
      </c>
      <c r="O274" s="17"/>
      <c r="P274" s="17"/>
      <c r="Q274" s="17">
        <v>1</v>
      </c>
      <c r="R274" s="17"/>
      <c r="S274" s="15"/>
      <c r="T274" s="26">
        <v>45773</v>
      </c>
      <c r="U274" s="13" t="s">
        <v>147</v>
      </c>
      <c r="V274">
        <v>2</v>
      </c>
      <c r="X274" s="51" t="s">
        <v>107</v>
      </c>
      <c r="Y274" s="52">
        <f>COUNTIF(U273:U297,"R")</f>
        <v>7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 t="s">
        <v>359</v>
      </c>
      <c r="D275" s="109" t="s">
        <v>182</v>
      </c>
      <c r="E275" s="13" t="s">
        <v>36</v>
      </c>
      <c r="F275" s="16"/>
      <c r="G275" s="12" t="s">
        <v>178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45824</v>
      </c>
      <c r="U275" s="13" t="s">
        <v>147</v>
      </c>
      <c r="V275">
        <v>3</v>
      </c>
      <c r="X275" s="53" t="s">
        <v>108</v>
      </c>
      <c r="Y275" s="54">
        <f>COUNTIF(U273:U297,"J")</f>
        <v>3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 t="s">
        <v>360</v>
      </c>
      <c r="D276" s="109" t="s">
        <v>185</v>
      </c>
      <c r="E276" s="13" t="s">
        <v>38</v>
      </c>
      <c r="F276" s="16"/>
      <c r="G276" s="12" t="s">
        <v>178</v>
      </c>
      <c r="H276" s="15"/>
      <c r="I276" s="15"/>
      <c r="J276" s="15">
        <v>1</v>
      </c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45792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 t="s">
        <v>361</v>
      </c>
      <c r="D277" s="109" t="s">
        <v>232</v>
      </c>
      <c r="E277" s="13" t="s">
        <v>40</v>
      </c>
      <c r="F277" s="16"/>
      <c r="G277" s="12" t="s">
        <v>178</v>
      </c>
      <c r="H277" s="15" t="s">
        <v>147</v>
      </c>
      <c r="I277" s="15"/>
      <c r="J277" s="15"/>
      <c r="K277" s="15"/>
      <c r="L277" s="17"/>
      <c r="M277" s="17"/>
      <c r="N277" s="17"/>
      <c r="O277" s="17">
        <v>1</v>
      </c>
      <c r="P277" s="17">
        <v>1</v>
      </c>
      <c r="Q277" s="17"/>
      <c r="R277" s="17"/>
      <c r="S277" s="15"/>
      <c r="T277" s="26">
        <v>45798</v>
      </c>
      <c r="U277" s="13" t="s">
        <v>148</v>
      </c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 t="s">
        <v>362</v>
      </c>
      <c r="D278" s="109" t="s">
        <v>232</v>
      </c>
      <c r="E278" s="13" t="s">
        <v>45</v>
      </c>
      <c r="F278" s="16"/>
      <c r="G278" s="12" t="s">
        <v>178</v>
      </c>
      <c r="H278" s="13"/>
      <c r="I278" s="15"/>
      <c r="J278" s="15"/>
      <c r="K278" s="15"/>
      <c r="L278" s="17"/>
      <c r="M278" s="17">
        <v>1</v>
      </c>
      <c r="N278" s="17">
        <v>1</v>
      </c>
      <c r="O278" s="17"/>
      <c r="P278" s="17"/>
      <c r="Q278" s="17"/>
      <c r="R278" s="17"/>
      <c r="S278" s="15"/>
      <c r="T278" s="26">
        <v>45798</v>
      </c>
      <c r="U278" s="13" t="s">
        <v>147</v>
      </c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 t="s">
        <v>363</v>
      </c>
      <c r="D279" s="109" t="s">
        <v>364</v>
      </c>
      <c r="E279" s="13" t="s">
        <v>43</v>
      </c>
      <c r="F279" s="16"/>
      <c r="G279" s="12" t="s">
        <v>178</v>
      </c>
      <c r="H279" s="15"/>
      <c r="I279" s="15"/>
      <c r="J279" s="15">
        <v>1</v>
      </c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45798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 t="s">
        <v>365</v>
      </c>
      <c r="D280" s="109" t="s">
        <v>364</v>
      </c>
      <c r="E280" s="13" t="s">
        <v>45</v>
      </c>
      <c r="F280" s="16"/>
      <c r="G280" s="12" t="s">
        <v>178</v>
      </c>
      <c r="H280" s="15"/>
      <c r="I280" s="15"/>
      <c r="J280" s="15"/>
      <c r="K280" s="15"/>
      <c r="L280" s="17"/>
      <c r="M280" s="17">
        <v>1</v>
      </c>
      <c r="N280" s="17">
        <v>1</v>
      </c>
      <c r="O280" s="17"/>
      <c r="P280" s="17"/>
      <c r="Q280" s="17"/>
      <c r="R280" s="17"/>
      <c r="S280" s="15"/>
      <c r="T280" s="26">
        <v>45798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 t="s">
        <v>366</v>
      </c>
      <c r="D281" s="109" t="s">
        <v>364</v>
      </c>
      <c r="E281" s="13" t="s">
        <v>40</v>
      </c>
      <c r="F281" s="16"/>
      <c r="G281" s="12" t="s">
        <v>178</v>
      </c>
      <c r="H281" s="15"/>
      <c r="I281" s="15"/>
      <c r="J281" s="15"/>
      <c r="K281" s="15"/>
      <c r="L281" s="17"/>
      <c r="M281" s="17"/>
      <c r="N281" s="17"/>
      <c r="O281" s="17">
        <v>1</v>
      </c>
      <c r="P281" s="17">
        <v>1</v>
      </c>
      <c r="Q281" s="17">
        <v>1</v>
      </c>
      <c r="R281" s="17">
        <v>1</v>
      </c>
      <c r="S281" s="15"/>
      <c r="T281" s="26">
        <v>45798</v>
      </c>
      <c r="U281" s="13" t="s">
        <v>148</v>
      </c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 t="s">
        <v>367</v>
      </c>
      <c r="D282" s="109" t="s">
        <v>364</v>
      </c>
      <c r="E282" s="13" t="s">
        <v>40</v>
      </c>
      <c r="F282" s="16"/>
      <c r="G282" s="12" t="s">
        <v>178</v>
      </c>
      <c r="H282" s="15"/>
      <c r="I282" s="15"/>
      <c r="J282" s="15"/>
      <c r="K282" s="15"/>
      <c r="L282" s="17"/>
      <c r="M282" s="17"/>
      <c r="N282" s="17">
        <v>1</v>
      </c>
      <c r="O282" s="17">
        <v>1</v>
      </c>
      <c r="P282" s="17">
        <v>1</v>
      </c>
      <c r="Q282" s="17"/>
      <c r="R282" s="17"/>
      <c r="S282" s="15"/>
      <c r="T282" s="26">
        <v>45798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 t="s">
        <v>368</v>
      </c>
      <c r="D283" s="109" t="s">
        <v>205</v>
      </c>
      <c r="E283" s="13" t="s">
        <v>38</v>
      </c>
      <c r="F283" s="16"/>
      <c r="G283" s="12" t="s">
        <v>178</v>
      </c>
      <c r="H283" s="15"/>
      <c r="I283" s="15"/>
      <c r="J283" s="15"/>
      <c r="K283" s="15"/>
      <c r="L283" s="17"/>
      <c r="M283" s="17">
        <v>1</v>
      </c>
      <c r="N283" s="17">
        <v>1</v>
      </c>
      <c r="O283" s="17"/>
      <c r="P283" s="17"/>
      <c r="Q283" s="17">
        <v>1</v>
      </c>
      <c r="R283" s="17"/>
      <c r="S283" s="15"/>
      <c r="T283" s="26">
        <v>45798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 t="s">
        <v>369</v>
      </c>
      <c r="D284" s="109" t="s">
        <v>185</v>
      </c>
      <c r="E284" s="13" t="s">
        <v>36</v>
      </c>
      <c r="F284" s="16"/>
      <c r="G284" s="12" t="s">
        <v>178</v>
      </c>
      <c r="H284" s="15"/>
      <c r="I284" s="15"/>
      <c r="J284" s="15"/>
      <c r="K284" s="15"/>
      <c r="L284" s="17"/>
      <c r="M284" s="17">
        <v>1</v>
      </c>
      <c r="N284" s="17"/>
      <c r="O284" s="17"/>
      <c r="P284" s="17"/>
      <c r="Q284" s="17">
        <v>1</v>
      </c>
      <c r="R284" s="17"/>
      <c r="S284" s="15"/>
      <c r="T284" s="26">
        <v>45800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 t="s">
        <v>370</v>
      </c>
      <c r="D285" s="109" t="s">
        <v>180</v>
      </c>
      <c r="E285" s="13" t="s">
        <v>36</v>
      </c>
      <c r="F285" s="16"/>
      <c r="G285" s="12" t="s">
        <v>178</v>
      </c>
      <c r="H285" s="15"/>
      <c r="I285" s="15"/>
      <c r="J285" s="15"/>
      <c r="K285" s="15"/>
      <c r="L285" s="17"/>
      <c r="M285" s="17">
        <v>1</v>
      </c>
      <c r="N285" s="17">
        <v>1</v>
      </c>
      <c r="O285" s="17"/>
      <c r="P285" s="17"/>
      <c r="Q285" s="17"/>
      <c r="R285" s="17"/>
      <c r="S285" s="15"/>
      <c r="T285" s="26">
        <v>45804</v>
      </c>
      <c r="U285" s="13" t="s">
        <v>147</v>
      </c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 t="s">
        <v>371</v>
      </c>
      <c r="D286" s="109" t="s">
        <v>234</v>
      </c>
      <c r="E286" s="15" t="s">
        <v>37</v>
      </c>
      <c r="F286" s="16"/>
      <c r="G286" s="12" t="s">
        <v>178</v>
      </c>
      <c r="H286" s="15"/>
      <c r="I286" s="15"/>
      <c r="J286" s="15">
        <v>1</v>
      </c>
      <c r="K286" s="15">
        <v>1</v>
      </c>
      <c r="L286" s="17"/>
      <c r="M286" s="17"/>
      <c r="N286" s="17"/>
      <c r="O286" s="17"/>
      <c r="P286" s="17"/>
      <c r="Q286" s="17"/>
      <c r="R286" s="17"/>
      <c r="S286" s="15"/>
      <c r="T286" s="26">
        <v>45804</v>
      </c>
      <c r="U286" s="15" t="s">
        <v>146</v>
      </c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 t="s">
        <v>372</v>
      </c>
      <c r="D287" s="109" t="s">
        <v>234</v>
      </c>
      <c r="E287" s="15" t="s">
        <v>39</v>
      </c>
      <c r="F287" s="16"/>
      <c r="G287" s="15" t="s">
        <v>178</v>
      </c>
      <c r="H287" s="15"/>
      <c r="I287" s="15"/>
      <c r="J287" s="15">
        <v>1</v>
      </c>
      <c r="K287" s="15">
        <v>1</v>
      </c>
      <c r="L287" s="17"/>
      <c r="M287" s="17"/>
      <c r="N287" s="17"/>
      <c r="O287" s="17"/>
      <c r="P287" s="17"/>
      <c r="Q287" s="17"/>
      <c r="R287" s="17"/>
      <c r="S287" s="15"/>
      <c r="T287" s="26">
        <v>45804</v>
      </c>
      <c r="U287" s="15" t="s">
        <v>146</v>
      </c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15</v>
      </c>
      <c r="D298" s="112"/>
      <c r="E298" s="29"/>
      <c r="F298" s="29" t="s">
        <v>34</v>
      </c>
      <c r="G298" s="29">
        <f>COUNTIF(G273:G297,"S")</f>
        <v>15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6</v>
      </c>
      <c r="K298" s="29">
        <f t="shared" ref="K298" si="64">SUM(K273:K297)</f>
        <v>4</v>
      </c>
      <c r="L298" s="29">
        <f t="shared" ref="L298" si="65">SUM(L273:L297)</f>
        <v>0</v>
      </c>
      <c r="M298" s="29">
        <f t="shared" ref="M298" si="66">SUM(M273:M297)</f>
        <v>6</v>
      </c>
      <c r="N298" s="29">
        <f t="shared" ref="N298" si="67">SUM(N273:N297)</f>
        <v>6</v>
      </c>
      <c r="O298" s="29">
        <f t="shared" ref="O298" si="68">SUM(O273:O297)</f>
        <v>3</v>
      </c>
      <c r="P298" s="29">
        <f t="shared" ref="P298" si="69">SUM(P273:P297)</f>
        <v>3</v>
      </c>
      <c r="Q298" s="29">
        <f t="shared" ref="Q298" si="70">SUM(Q273:Q297)</f>
        <v>4</v>
      </c>
      <c r="R298" s="29">
        <f t="shared" ref="R298" si="71">SUM(R273:R297)</f>
        <v>1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1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33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AYG107</v>
      </c>
      <c r="B301" s="24">
        <f>B1</f>
        <v>45771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>
        <v>20.399999999999999</v>
      </c>
      <c r="C303" s="85" t="s">
        <v>373</v>
      </c>
      <c r="D303" s="109" t="s">
        <v>182</v>
      </c>
      <c r="E303" s="13" t="s">
        <v>74</v>
      </c>
      <c r="F303" s="14"/>
      <c r="G303" s="12" t="s">
        <v>178</v>
      </c>
      <c r="H303" s="13"/>
      <c r="I303" s="13"/>
      <c r="J303" s="13">
        <v>1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45804</v>
      </c>
      <c r="U303" s="13" t="s">
        <v>146</v>
      </c>
      <c r="V303">
        <v>1</v>
      </c>
      <c r="X303" s="51" t="s">
        <v>106</v>
      </c>
      <c r="Y303" s="52">
        <f>COUNTIF(U303:U327,"K")</f>
        <v>7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 t="s">
        <v>374</v>
      </c>
      <c r="D304" s="109" t="s">
        <v>182</v>
      </c>
      <c r="E304" s="13" t="s">
        <v>40</v>
      </c>
      <c r="F304" s="16"/>
      <c r="G304" s="12" t="s">
        <v>178</v>
      </c>
      <c r="H304" s="15"/>
      <c r="I304" s="15"/>
      <c r="J304" s="15"/>
      <c r="K304" s="15"/>
      <c r="L304" s="17"/>
      <c r="M304" s="13"/>
      <c r="N304" s="13"/>
      <c r="O304" s="17">
        <v>1</v>
      </c>
      <c r="P304" s="17">
        <v>1</v>
      </c>
      <c r="Q304" s="17">
        <v>1</v>
      </c>
      <c r="R304" s="17"/>
      <c r="S304" s="15"/>
      <c r="T304" s="26">
        <v>45804</v>
      </c>
      <c r="U304" s="13" t="s">
        <v>148</v>
      </c>
      <c r="V304">
        <v>2</v>
      </c>
      <c r="X304" s="51" t="s">
        <v>107</v>
      </c>
      <c r="Y304" s="52">
        <f>COUNTIF(U303:U327,"R")</f>
        <v>5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 t="s">
        <v>375</v>
      </c>
      <c r="D305" s="109" t="s">
        <v>194</v>
      </c>
      <c r="E305" s="13" t="s">
        <v>57</v>
      </c>
      <c r="F305" s="16"/>
      <c r="G305" s="12" t="s">
        <v>195</v>
      </c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>
        <v>45806</v>
      </c>
      <c r="U305" s="13" t="s">
        <v>147</v>
      </c>
      <c r="V305">
        <v>3</v>
      </c>
      <c r="X305" s="53" t="s">
        <v>108</v>
      </c>
      <c r="Y305" s="54">
        <f>COUNTIF(U303:U327,"J")</f>
        <v>3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 t="s">
        <v>376</v>
      </c>
      <c r="D306" s="109" t="s">
        <v>194</v>
      </c>
      <c r="E306" s="13" t="s">
        <v>57</v>
      </c>
      <c r="F306" s="16"/>
      <c r="G306" s="12" t="s">
        <v>195</v>
      </c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>
        <v>45806</v>
      </c>
      <c r="U306" s="13" t="s">
        <v>147</v>
      </c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 t="s">
        <v>377</v>
      </c>
      <c r="D307" s="109" t="s">
        <v>187</v>
      </c>
      <c r="E307" s="13" t="s">
        <v>74</v>
      </c>
      <c r="F307" s="16"/>
      <c r="G307" s="12" t="s">
        <v>178</v>
      </c>
      <c r="H307" s="15"/>
      <c r="I307" s="15"/>
      <c r="J307" s="15">
        <v>1</v>
      </c>
      <c r="K307" s="15"/>
      <c r="L307" s="17"/>
      <c r="M307" s="13"/>
      <c r="N307" s="13"/>
      <c r="O307" s="17"/>
      <c r="P307" s="17"/>
      <c r="Q307" s="17"/>
      <c r="R307" s="17"/>
      <c r="S307" s="15"/>
      <c r="T307" s="26">
        <v>45801</v>
      </c>
      <c r="U307" s="13" t="s">
        <v>147</v>
      </c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 t="s">
        <v>378</v>
      </c>
      <c r="D308" s="109" t="s">
        <v>187</v>
      </c>
      <c r="E308" s="13" t="s">
        <v>39</v>
      </c>
      <c r="F308" s="16"/>
      <c r="G308" s="12" t="s">
        <v>178</v>
      </c>
      <c r="H308" s="13"/>
      <c r="I308" s="15"/>
      <c r="J308" s="15">
        <v>1</v>
      </c>
      <c r="K308" s="15"/>
      <c r="L308" s="17"/>
      <c r="M308" s="13"/>
      <c r="N308" s="13"/>
      <c r="O308" s="17"/>
      <c r="P308" s="17"/>
      <c r="Q308" s="17"/>
      <c r="R308" s="17"/>
      <c r="S308" s="15"/>
      <c r="T308" s="26">
        <v>45801</v>
      </c>
      <c r="U308" s="13" t="s">
        <v>146</v>
      </c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 t="s">
        <v>379</v>
      </c>
      <c r="D309" s="109" t="s">
        <v>187</v>
      </c>
      <c r="E309" s="13" t="s">
        <v>60</v>
      </c>
      <c r="F309" s="16"/>
      <c r="G309" s="12" t="s">
        <v>178</v>
      </c>
      <c r="H309" s="15"/>
      <c r="I309" s="15"/>
      <c r="J309" s="15">
        <v>1</v>
      </c>
      <c r="K309" s="15"/>
      <c r="L309" s="17">
        <v>1</v>
      </c>
      <c r="M309" s="13"/>
      <c r="N309" s="13"/>
      <c r="O309" s="17"/>
      <c r="P309" s="17"/>
      <c r="Q309" s="17"/>
      <c r="R309" s="17"/>
      <c r="S309" s="15"/>
      <c r="T309" s="26">
        <v>45801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 t="s">
        <v>380</v>
      </c>
      <c r="D310" s="109" t="s">
        <v>187</v>
      </c>
      <c r="E310" s="13" t="s">
        <v>39</v>
      </c>
      <c r="F310" s="16"/>
      <c r="G310" s="12" t="s">
        <v>178</v>
      </c>
      <c r="H310" s="15"/>
      <c r="I310" s="15"/>
      <c r="J310" s="15">
        <v>1</v>
      </c>
      <c r="K310" s="15"/>
      <c r="L310" s="17"/>
      <c r="M310" s="13"/>
      <c r="N310" s="13"/>
      <c r="O310" s="17"/>
      <c r="P310" s="17"/>
      <c r="Q310" s="17"/>
      <c r="R310" s="17"/>
      <c r="S310" s="15"/>
      <c r="T310" s="26">
        <v>45812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 t="s">
        <v>381</v>
      </c>
      <c r="D311" s="109" t="s">
        <v>187</v>
      </c>
      <c r="E311" s="13" t="s">
        <v>133</v>
      </c>
      <c r="F311" s="16"/>
      <c r="G311" s="12" t="s">
        <v>178</v>
      </c>
      <c r="H311" s="15"/>
      <c r="I311" s="15"/>
      <c r="J311" s="15"/>
      <c r="K311" s="15"/>
      <c r="L311" s="17"/>
      <c r="M311" s="13"/>
      <c r="N311" s="13"/>
      <c r="O311" s="17">
        <v>1</v>
      </c>
      <c r="P311" s="17">
        <v>1</v>
      </c>
      <c r="Q311" s="17">
        <v>1</v>
      </c>
      <c r="R311" s="17"/>
      <c r="S311" s="15"/>
      <c r="T311" s="26">
        <v>45812</v>
      </c>
      <c r="U311" s="13" t="s">
        <v>148</v>
      </c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 t="s">
        <v>382</v>
      </c>
      <c r="D312" s="109" t="s">
        <v>187</v>
      </c>
      <c r="E312" s="13" t="s">
        <v>39</v>
      </c>
      <c r="F312" s="16"/>
      <c r="G312" s="12" t="s">
        <v>178</v>
      </c>
      <c r="H312" s="15"/>
      <c r="I312" s="15"/>
      <c r="J312" s="15">
        <v>1</v>
      </c>
      <c r="K312" s="15">
        <v>1</v>
      </c>
      <c r="L312" s="17"/>
      <c r="M312" s="13"/>
      <c r="N312" s="13"/>
      <c r="O312" s="17"/>
      <c r="P312" s="17"/>
      <c r="Q312" s="17"/>
      <c r="R312" s="17"/>
      <c r="S312" s="15"/>
      <c r="T312" s="26">
        <v>45812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 t="s">
        <v>383</v>
      </c>
      <c r="D313" s="109" t="s">
        <v>187</v>
      </c>
      <c r="E313" s="13" t="s">
        <v>133</v>
      </c>
      <c r="F313" s="16"/>
      <c r="G313" s="12" t="s">
        <v>178</v>
      </c>
      <c r="H313" s="15"/>
      <c r="I313" s="15"/>
      <c r="J313" s="15"/>
      <c r="K313" s="15"/>
      <c r="L313" s="17"/>
      <c r="M313" s="13"/>
      <c r="N313" s="13"/>
      <c r="O313" s="17">
        <v>1</v>
      </c>
      <c r="P313" s="17">
        <v>1</v>
      </c>
      <c r="Q313" s="17">
        <v>1</v>
      </c>
      <c r="R313" s="17"/>
      <c r="S313" s="15"/>
      <c r="T313" s="26">
        <v>45812</v>
      </c>
      <c r="U313" s="13" t="s">
        <v>148</v>
      </c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 t="s">
        <v>384</v>
      </c>
      <c r="D314" s="109" t="s">
        <v>187</v>
      </c>
      <c r="E314" s="13" t="s">
        <v>43</v>
      </c>
      <c r="F314" s="16"/>
      <c r="G314" s="12" t="s">
        <v>178</v>
      </c>
      <c r="H314" s="15"/>
      <c r="I314" s="15"/>
      <c r="J314" s="15">
        <v>1</v>
      </c>
      <c r="K314" s="15"/>
      <c r="L314" s="17"/>
      <c r="M314" s="13"/>
      <c r="N314" s="13"/>
      <c r="O314" s="17"/>
      <c r="P314" s="17"/>
      <c r="Q314" s="17"/>
      <c r="R314" s="17"/>
      <c r="S314" s="15"/>
      <c r="T314" s="26">
        <v>45812</v>
      </c>
      <c r="U314" s="13" t="s">
        <v>146</v>
      </c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 t="s">
        <v>385</v>
      </c>
      <c r="D315" s="109" t="s">
        <v>187</v>
      </c>
      <c r="E315" s="13" t="s">
        <v>45</v>
      </c>
      <c r="F315" s="16"/>
      <c r="G315" s="12" t="s">
        <v>178</v>
      </c>
      <c r="H315" s="15" t="s">
        <v>147</v>
      </c>
      <c r="I315" s="15"/>
      <c r="J315" s="15"/>
      <c r="K315" s="15"/>
      <c r="L315" s="17"/>
      <c r="M315" s="13">
        <v>1</v>
      </c>
      <c r="N315" s="13">
        <v>1</v>
      </c>
      <c r="O315" s="17"/>
      <c r="P315" s="17"/>
      <c r="Q315" s="17"/>
      <c r="R315" s="17"/>
      <c r="S315" s="15"/>
      <c r="T315" s="26">
        <v>45812</v>
      </c>
      <c r="U315" s="13" t="s">
        <v>147</v>
      </c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 t="s">
        <v>386</v>
      </c>
      <c r="D316" s="109" t="s">
        <v>187</v>
      </c>
      <c r="E316" s="13" t="s">
        <v>75</v>
      </c>
      <c r="F316" s="16"/>
      <c r="G316" s="12" t="s">
        <v>178</v>
      </c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>
        <v>45812</v>
      </c>
      <c r="U316" s="13" t="s">
        <v>147</v>
      </c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 t="s">
        <v>387</v>
      </c>
      <c r="D317" s="109" t="s">
        <v>187</v>
      </c>
      <c r="E317" s="13" t="s">
        <v>75</v>
      </c>
      <c r="F317" s="16"/>
      <c r="G317" s="12" t="s">
        <v>178</v>
      </c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>
        <v>1</v>
      </c>
      <c r="T317" s="26">
        <v>45812</v>
      </c>
      <c r="U317" s="13" t="s">
        <v>146</v>
      </c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15</v>
      </c>
      <c r="D328" s="112"/>
      <c r="E328" s="29"/>
      <c r="F328" s="29" t="s">
        <v>34</v>
      </c>
      <c r="G328" s="29">
        <f>COUNTIF(G303:G327,"S")</f>
        <v>13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7</v>
      </c>
      <c r="K328" s="29">
        <f t="shared" ref="K328" si="74">SUM(K303:K327)</f>
        <v>1</v>
      </c>
      <c r="L328" s="29">
        <f t="shared" ref="L328" si="75">SUM(L303:L327)</f>
        <v>1</v>
      </c>
      <c r="M328" s="29">
        <f t="shared" ref="M328" si="76">SUM(M303:M327)</f>
        <v>1</v>
      </c>
      <c r="N328" s="29">
        <f t="shared" ref="N328" si="77">SUM(N303:N327)</f>
        <v>1</v>
      </c>
      <c r="O328" s="29">
        <f t="shared" ref="O328" si="78">SUM(O303:O327)</f>
        <v>3</v>
      </c>
      <c r="P328" s="29">
        <f t="shared" ref="P328" si="79">SUM(P303:P327)</f>
        <v>3</v>
      </c>
      <c r="Q328" s="29">
        <f t="shared" ref="Q328" si="80">SUM(Q303:Q327)</f>
        <v>3</v>
      </c>
      <c r="R328" s="29">
        <f t="shared" ref="R328" si="81">SUM(R303:R327)</f>
        <v>0</v>
      </c>
      <c r="S328" s="29">
        <f t="shared" ref="S328" si="82">SUM(S303:S327)</f>
        <v>1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1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21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AYG107</v>
      </c>
      <c r="B331" s="24">
        <f>B151</f>
        <v>45771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>
        <v>19.8</v>
      </c>
      <c r="C333" s="86" t="s">
        <v>388</v>
      </c>
      <c r="D333" s="109" t="s">
        <v>179</v>
      </c>
      <c r="E333" s="109" t="s">
        <v>37</v>
      </c>
      <c r="F333" s="14"/>
      <c r="G333" s="12" t="s">
        <v>178</v>
      </c>
      <c r="H333" s="13"/>
      <c r="I333" s="13"/>
      <c r="J333" s="13">
        <v>1</v>
      </c>
      <c r="K333" s="13">
        <v>1</v>
      </c>
      <c r="L333" s="13"/>
      <c r="M333" s="13"/>
      <c r="N333" s="13"/>
      <c r="O333" s="13"/>
      <c r="P333" s="13"/>
      <c r="Q333" s="13"/>
      <c r="R333" s="13"/>
      <c r="S333" s="13"/>
      <c r="T333" s="26">
        <v>45805</v>
      </c>
      <c r="U333" s="13" t="s">
        <v>146</v>
      </c>
      <c r="V333">
        <v>1</v>
      </c>
      <c r="X333" s="51" t="s">
        <v>106</v>
      </c>
      <c r="Y333" s="52">
        <f>COUNTIF(U333:U356,"K")</f>
        <v>6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 t="s">
        <v>389</v>
      </c>
      <c r="D334" s="109" t="s">
        <v>179</v>
      </c>
      <c r="E334" s="109" t="s">
        <v>37</v>
      </c>
      <c r="F334" s="16"/>
      <c r="G334" s="12" t="s">
        <v>178</v>
      </c>
      <c r="H334" s="15"/>
      <c r="I334" s="15"/>
      <c r="J334" s="15"/>
      <c r="K334" s="15">
        <v>1</v>
      </c>
      <c r="L334" s="17"/>
      <c r="M334" s="17"/>
      <c r="N334" s="17">
        <v>1</v>
      </c>
      <c r="O334" s="17"/>
      <c r="P334" s="17"/>
      <c r="Q334" s="17">
        <v>1</v>
      </c>
      <c r="R334" s="17"/>
      <c r="S334" s="15"/>
      <c r="T334" s="26">
        <v>45789</v>
      </c>
      <c r="U334" s="13" t="s">
        <v>147</v>
      </c>
      <c r="V334">
        <v>2</v>
      </c>
      <c r="X334" s="51" t="s">
        <v>107</v>
      </c>
      <c r="Y334" s="52">
        <f>COUNTIF(U333:U356,"R")</f>
        <v>4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 t="s">
        <v>390</v>
      </c>
      <c r="D335" s="109" t="s">
        <v>181</v>
      </c>
      <c r="E335" s="109" t="s">
        <v>60</v>
      </c>
      <c r="F335" s="16"/>
      <c r="G335" s="12" t="s">
        <v>178</v>
      </c>
      <c r="H335" s="15"/>
      <c r="I335" s="15"/>
      <c r="J335" s="15">
        <v>1</v>
      </c>
      <c r="K335" s="15"/>
      <c r="L335" s="17">
        <v>1</v>
      </c>
      <c r="M335" s="17"/>
      <c r="N335" s="17"/>
      <c r="O335" s="17"/>
      <c r="P335" s="17"/>
      <c r="Q335" s="17"/>
      <c r="R335" s="17"/>
      <c r="S335" s="15"/>
      <c r="T335" s="26">
        <v>45810</v>
      </c>
      <c r="U335" s="13" t="s">
        <v>146</v>
      </c>
      <c r="V335">
        <v>3</v>
      </c>
      <c r="X335" s="53" t="s">
        <v>108</v>
      </c>
      <c r="Y335" s="54">
        <f>COUNTIF(U333:U356,"J")</f>
        <v>2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 t="s">
        <v>391</v>
      </c>
      <c r="D336" s="109" t="s">
        <v>181</v>
      </c>
      <c r="E336" s="109" t="s">
        <v>60</v>
      </c>
      <c r="F336" s="16"/>
      <c r="G336" s="12" t="s">
        <v>178</v>
      </c>
      <c r="H336" s="15"/>
      <c r="I336" s="15"/>
      <c r="J336" s="15">
        <v>1</v>
      </c>
      <c r="K336" s="15"/>
      <c r="L336" s="17">
        <v>1</v>
      </c>
      <c r="M336" s="17"/>
      <c r="N336" s="17"/>
      <c r="O336" s="17"/>
      <c r="P336" s="17"/>
      <c r="Q336" s="17"/>
      <c r="R336" s="17"/>
      <c r="S336" s="15"/>
      <c r="T336" s="26">
        <v>45810</v>
      </c>
      <c r="U336" s="13" t="s">
        <v>146</v>
      </c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 t="s">
        <v>392</v>
      </c>
      <c r="D337" s="109" t="s">
        <v>181</v>
      </c>
      <c r="E337" s="109" t="s">
        <v>60</v>
      </c>
      <c r="F337" s="16"/>
      <c r="G337" s="12" t="s">
        <v>178</v>
      </c>
      <c r="H337" s="15"/>
      <c r="I337" s="15"/>
      <c r="J337" s="15">
        <v>1</v>
      </c>
      <c r="K337" s="15"/>
      <c r="L337" s="17">
        <v>1</v>
      </c>
      <c r="M337" s="17"/>
      <c r="N337" s="17"/>
      <c r="O337" s="17"/>
      <c r="P337" s="17"/>
      <c r="Q337" s="17"/>
      <c r="R337" s="17"/>
      <c r="S337" s="15"/>
      <c r="T337" s="26">
        <v>45810</v>
      </c>
      <c r="U337" s="13" t="s">
        <v>146</v>
      </c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 t="s">
        <v>393</v>
      </c>
      <c r="D338" s="109" t="s">
        <v>181</v>
      </c>
      <c r="E338" s="109" t="s">
        <v>60</v>
      </c>
      <c r="F338" s="16"/>
      <c r="G338" s="12" t="s">
        <v>178</v>
      </c>
      <c r="H338" s="13"/>
      <c r="I338" s="15"/>
      <c r="J338" s="15">
        <v>1</v>
      </c>
      <c r="K338" s="15"/>
      <c r="L338" s="17">
        <v>1</v>
      </c>
      <c r="M338" s="17"/>
      <c r="N338" s="17"/>
      <c r="O338" s="17"/>
      <c r="P338" s="17"/>
      <c r="Q338" s="17"/>
      <c r="R338" s="17"/>
      <c r="S338" s="15"/>
      <c r="T338" s="26">
        <v>45810</v>
      </c>
      <c r="U338" s="13" t="s">
        <v>146</v>
      </c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 t="s">
        <v>394</v>
      </c>
      <c r="D339" s="109" t="s">
        <v>181</v>
      </c>
      <c r="E339" s="109" t="s">
        <v>60</v>
      </c>
      <c r="F339" s="16"/>
      <c r="G339" s="12" t="s">
        <v>178</v>
      </c>
      <c r="H339" s="15"/>
      <c r="I339" s="15"/>
      <c r="J339" s="15">
        <v>1</v>
      </c>
      <c r="K339" s="15"/>
      <c r="L339" s="17">
        <v>1</v>
      </c>
      <c r="M339" s="17"/>
      <c r="N339" s="17"/>
      <c r="O339" s="17"/>
      <c r="P339" s="17"/>
      <c r="Q339" s="17"/>
      <c r="R339" s="17"/>
      <c r="S339" s="15"/>
      <c r="T339" s="26">
        <v>45810</v>
      </c>
      <c r="U339" s="13" t="s">
        <v>146</v>
      </c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 t="s">
        <v>395</v>
      </c>
      <c r="D340" s="109" t="s">
        <v>182</v>
      </c>
      <c r="E340" s="109" t="s">
        <v>40</v>
      </c>
      <c r="F340" s="16"/>
      <c r="G340" s="12" t="s">
        <v>178</v>
      </c>
      <c r="H340" s="15"/>
      <c r="I340" s="15"/>
      <c r="J340" s="15"/>
      <c r="K340" s="15"/>
      <c r="L340" s="17"/>
      <c r="M340" s="17"/>
      <c r="N340" s="17"/>
      <c r="O340" s="17">
        <v>1</v>
      </c>
      <c r="P340" s="17">
        <v>1</v>
      </c>
      <c r="Q340" s="17"/>
      <c r="R340" s="17"/>
      <c r="S340" s="15"/>
      <c r="T340" s="26">
        <v>45807</v>
      </c>
      <c r="U340" s="13" t="s">
        <v>148</v>
      </c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 t="s">
        <v>397</v>
      </c>
      <c r="D341" s="109" t="s">
        <v>396</v>
      </c>
      <c r="E341" s="15" t="s">
        <v>40</v>
      </c>
      <c r="F341" s="16"/>
      <c r="G341" s="15" t="s">
        <v>178</v>
      </c>
      <c r="H341" s="15"/>
      <c r="I341" s="15"/>
      <c r="J341" s="15"/>
      <c r="K341" s="15"/>
      <c r="L341" s="17"/>
      <c r="M341" s="17"/>
      <c r="N341" s="17"/>
      <c r="O341" s="17">
        <v>1</v>
      </c>
      <c r="P341" s="17"/>
      <c r="Q341" s="17">
        <v>1</v>
      </c>
      <c r="R341" s="17"/>
      <c r="S341" s="15"/>
      <c r="T341" s="26">
        <v>45790</v>
      </c>
      <c r="U341" s="13" t="s">
        <v>148</v>
      </c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 t="s">
        <v>398</v>
      </c>
      <c r="D342" s="109" t="s">
        <v>396</v>
      </c>
      <c r="E342" s="15" t="s">
        <v>37</v>
      </c>
      <c r="F342" s="16"/>
      <c r="G342" s="15" t="s">
        <v>178</v>
      </c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>
        <v>45802</v>
      </c>
      <c r="U342" s="13" t="s">
        <v>147</v>
      </c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 t="s">
        <v>399</v>
      </c>
      <c r="D343" s="109" t="s">
        <v>194</v>
      </c>
      <c r="E343" s="15" t="s">
        <v>41</v>
      </c>
      <c r="F343" s="16"/>
      <c r="G343" s="15" t="s">
        <v>178</v>
      </c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>
        <v>45806</v>
      </c>
      <c r="U343" s="15" t="s">
        <v>147</v>
      </c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 t="s">
        <v>400</v>
      </c>
      <c r="D344" s="109" t="s">
        <v>194</v>
      </c>
      <c r="E344" s="15" t="s">
        <v>41</v>
      </c>
      <c r="F344" s="16"/>
      <c r="G344" s="15" t="s">
        <v>178</v>
      </c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>
        <v>45806</v>
      </c>
      <c r="U344" s="15" t="s">
        <v>147</v>
      </c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12</v>
      </c>
      <c r="D358" s="112"/>
      <c r="E358" s="29"/>
      <c r="F358" s="29" t="s">
        <v>34</v>
      </c>
      <c r="G358" s="29">
        <f>COUNTIF(G333:G357,"S")</f>
        <v>12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6</v>
      </c>
      <c r="K358" s="29">
        <f t="shared" si="83"/>
        <v>2</v>
      </c>
      <c r="L358" s="29">
        <f t="shared" si="83"/>
        <v>5</v>
      </c>
      <c r="M358" s="29">
        <f t="shared" si="83"/>
        <v>0</v>
      </c>
      <c r="N358" s="29">
        <f t="shared" si="83"/>
        <v>1</v>
      </c>
      <c r="O358" s="29">
        <f t="shared" si="83"/>
        <v>2</v>
      </c>
      <c r="P358" s="29">
        <f t="shared" si="83"/>
        <v>1</v>
      </c>
      <c r="Q358" s="29">
        <f t="shared" si="83"/>
        <v>2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19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>
        <v>17.399999999999999</v>
      </c>
      <c r="C363" s="86" t="s">
        <v>401</v>
      </c>
      <c r="D363" s="109" t="s">
        <v>181</v>
      </c>
      <c r="E363" s="13" t="s">
        <v>59</v>
      </c>
      <c r="F363" s="14"/>
      <c r="G363" s="12" t="s">
        <v>178</v>
      </c>
      <c r="H363" s="13" t="s">
        <v>266</v>
      </c>
      <c r="I363" s="13"/>
      <c r="J363" s="13">
        <v>2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26">
        <v>45816</v>
      </c>
      <c r="U363" s="15" t="s">
        <v>146</v>
      </c>
      <c r="V363">
        <v>1</v>
      </c>
      <c r="X363" s="51" t="s">
        <v>106</v>
      </c>
      <c r="Y363" s="52">
        <f>COUNTIF(U362:U386,"K")</f>
        <v>4</v>
      </c>
    </row>
    <row r="364" spans="1:28" x14ac:dyDescent="0.4">
      <c r="A364" s="146"/>
      <c r="B364" s="149"/>
      <c r="C364" s="86" t="s">
        <v>402</v>
      </c>
      <c r="D364" s="106" t="s">
        <v>181</v>
      </c>
      <c r="E364" s="15" t="s">
        <v>59</v>
      </c>
      <c r="F364" s="16"/>
      <c r="G364" s="15" t="s">
        <v>178</v>
      </c>
      <c r="H364" s="15" t="s">
        <v>266</v>
      </c>
      <c r="I364" s="15"/>
      <c r="J364" s="15">
        <v>2</v>
      </c>
      <c r="K364" s="15"/>
      <c r="L364" s="17"/>
      <c r="M364" s="17"/>
      <c r="N364" s="17"/>
      <c r="O364" s="17"/>
      <c r="P364" s="17"/>
      <c r="Q364" s="17"/>
      <c r="R364" s="17"/>
      <c r="S364" s="15"/>
      <c r="T364" s="26">
        <v>45815</v>
      </c>
      <c r="U364" s="15" t="s">
        <v>146</v>
      </c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 t="s">
        <v>403</v>
      </c>
      <c r="D365" s="109" t="s">
        <v>181</v>
      </c>
      <c r="E365" s="15" t="s">
        <v>59</v>
      </c>
      <c r="F365" s="16"/>
      <c r="G365" s="15" t="s">
        <v>178</v>
      </c>
      <c r="H365" s="15" t="s">
        <v>266</v>
      </c>
      <c r="I365" s="15"/>
      <c r="J365" s="15">
        <v>2</v>
      </c>
      <c r="K365" s="15"/>
      <c r="L365" s="17"/>
      <c r="M365" s="17"/>
      <c r="N365" s="17"/>
      <c r="O365" s="17"/>
      <c r="P365" s="17"/>
      <c r="Q365" s="17"/>
      <c r="R365" s="17"/>
      <c r="S365" s="15"/>
      <c r="T365" s="26">
        <v>45816</v>
      </c>
      <c r="U365" s="15" t="s">
        <v>146</v>
      </c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 t="s">
        <v>404</v>
      </c>
      <c r="D366" s="109" t="s">
        <v>181</v>
      </c>
      <c r="E366" s="15" t="s">
        <v>59</v>
      </c>
      <c r="F366" s="16"/>
      <c r="G366" s="15" t="s">
        <v>178</v>
      </c>
      <c r="H366" s="15" t="s">
        <v>266</v>
      </c>
      <c r="I366" s="15"/>
      <c r="J366" s="15">
        <v>2</v>
      </c>
      <c r="K366" s="15"/>
      <c r="L366" s="17"/>
      <c r="M366" s="17"/>
      <c r="N366" s="17"/>
      <c r="O366" s="17"/>
      <c r="P366" s="17"/>
      <c r="Q366" s="17"/>
      <c r="R366" s="17"/>
      <c r="S366" s="15"/>
      <c r="T366" s="26">
        <v>45815</v>
      </c>
      <c r="U366" s="15" t="s">
        <v>146</v>
      </c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4</v>
      </c>
      <c r="D388" s="112"/>
      <c r="E388" s="29"/>
      <c r="F388" s="29" t="s">
        <v>34</v>
      </c>
      <c r="G388" s="29">
        <f>COUNTIF(G363:G387,"S")</f>
        <v>4</v>
      </c>
      <c r="H388" s="29">
        <f>COUNTIF(H363:H387,"E")</f>
        <v>4</v>
      </c>
      <c r="I388" s="29">
        <f>SUM(I363:I387)</f>
        <v>0</v>
      </c>
      <c r="J388" s="29">
        <f t="shared" ref="J388:S388" si="84">SUM(J363:J387)</f>
        <v>8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F1411"/>
  <sheetViews>
    <sheetView topLeftCell="A10" zoomScaleNormal="100" workbookViewId="0">
      <selection sqref="A1:E36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1" width="16.625" customWidth="1"/>
    <col min="32" max="32" width="11" customWidth="1"/>
    <col min="33" max="33" width="10.5" style="121" customWidth="1"/>
    <col min="34" max="34" width="10.25" style="121" customWidth="1"/>
    <col min="35" max="35" width="10.875" style="121" customWidth="1"/>
    <col min="36" max="49" width="16.625" customWidth="1"/>
    <col min="50" max="50" width="20.5" customWidth="1"/>
    <col min="55" max="55" width="12.375" customWidth="1"/>
    <col min="56" max="56" width="11.25" customWidth="1"/>
    <col min="57" max="57" width="10.5" customWidth="1"/>
    <col min="58" max="58" width="10.25" customWidth="1"/>
  </cols>
  <sheetData>
    <row r="1" spans="1:54" x14ac:dyDescent="0.4">
      <c r="A1" s="120" t="s">
        <v>216</v>
      </c>
      <c r="B1" s="121"/>
      <c r="C1" s="121"/>
      <c r="D1" s="121"/>
      <c r="O1" t="s">
        <v>143</v>
      </c>
      <c r="P1" t="s">
        <v>144</v>
      </c>
      <c r="Z1" t="s">
        <v>143</v>
      </c>
      <c r="AA1" t="s">
        <v>144</v>
      </c>
      <c r="AF1" s="120"/>
      <c r="AX1" t="s">
        <v>143</v>
      </c>
      <c r="AY1" t="s">
        <v>144</v>
      </c>
    </row>
    <row r="2" spans="1:54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O2" s="25">
        <v>45773</v>
      </c>
      <c r="P2" s="13" t="s">
        <v>147</v>
      </c>
      <c r="Z2" s="25">
        <v>45669</v>
      </c>
      <c r="AA2" s="13" t="s">
        <v>147</v>
      </c>
      <c r="AF2" s="116"/>
      <c r="AG2" s="123"/>
      <c r="AH2" s="123"/>
      <c r="AI2" s="123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25">
        <v>45258</v>
      </c>
      <c r="AY2" s="13" t="s">
        <v>162</v>
      </c>
      <c r="BB2" s="114"/>
    </row>
    <row r="3" spans="1:54" ht="20.100000000000001" customHeight="1" x14ac:dyDescent="0.4">
      <c r="A3" s="117">
        <v>45773</v>
      </c>
      <c r="B3" s="123"/>
      <c r="C3" s="123">
        <v>1</v>
      </c>
      <c r="D3" s="123"/>
      <c r="N3" s="115" t="s">
        <v>405</v>
      </c>
      <c r="O3" s="13">
        <f>SUBTOTAL(3,O2:O2)</f>
        <v>1</v>
      </c>
      <c r="P3" s="13">
        <f>SUBTOTAL(3,P2:P2)</f>
        <v>1</v>
      </c>
      <c r="Z3" s="25"/>
      <c r="AA3" s="13"/>
      <c r="AF3" s="116"/>
      <c r="AG3" s="123"/>
      <c r="AH3" s="123"/>
      <c r="AI3" s="123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25"/>
      <c r="AY3" s="13"/>
      <c r="BB3" s="114"/>
    </row>
    <row r="4" spans="1:54" ht="20.100000000000001" customHeight="1" x14ac:dyDescent="0.4">
      <c r="A4" s="117">
        <v>45782</v>
      </c>
      <c r="B4" s="123">
        <v>1</v>
      </c>
      <c r="C4" s="123"/>
      <c r="D4" s="123"/>
      <c r="K4" s="115"/>
      <c r="L4" s="115"/>
      <c r="M4" s="115"/>
      <c r="N4" s="115"/>
      <c r="O4" s="25">
        <v>45782</v>
      </c>
      <c r="P4" s="13" t="s">
        <v>146</v>
      </c>
      <c r="Z4" s="25"/>
      <c r="AA4" s="13"/>
      <c r="AF4" s="116"/>
      <c r="AG4" s="123"/>
      <c r="AH4" s="123"/>
      <c r="AI4" s="123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25"/>
      <c r="AY4" s="13"/>
      <c r="BB4" s="114"/>
    </row>
    <row r="5" spans="1:54" ht="20.100000000000001" customHeight="1" x14ac:dyDescent="0.4">
      <c r="A5" s="117">
        <v>45785</v>
      </c>
      <c r="B5" s="123">
        <v>1</v>
      </c>
      <c r="C5" s="123"/>
      <c r="D5" s="123"/>
      <c r="K5" s="115"/>
      <c r="L5" s="115"/>
      <c r="M5" s="115"/>
      <c r="N5" s="115" t="s">
        <v>207</v>
      </c>
      <c r="O5" s="13">
        <f>SUBTOTAL(3,O4:O4)</f>
        <v>1</v>
      </c>
      <c r="P5" s="13">
        <f>SUBTOTAL(3,P4:P4)</f>
        <v>1</v>
      </c>
      <c r="Z5" s="25"/>
      <c r="AA5" s="13"/>
      <c r="AF5" s="116"/>
      <c r="AG5" s="123"/>
      <c r="AH5" s="123"/>
      <c r="AI5" s="123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25"/>
      <c r="AY5" s="13"/>
      <c r="BB5" s="114"/>
    </row>
    <row r="6" spans="1:54" ht="20.100000000000001" customHeight="1" x14ac:dyDescent="0.4">
      <c r="A6" s="117">
        <v>45788</v>
      </c>
      <c r="B6" s="123"/>
      <c r="C6" s="123">
        <v>1</v>
      </c>
      <c r="D6" s="123"/>
      <c r="J6" s="115"/>
      <c r="K6" s="115"/>
      <c r="L6" s="115"/>
      <c r="M6" s="115"/>
      <c r="N6" s="115"/>
      <c r="O6" s="25">
        <v>45785</v>
      </c>
      <c r="P6" s="25" t="s">
        <v>146</v>
      </c>
      <c r="Z6" s="25"/>
      <c r="AA6" s="13"/>
      <c r="AF6" s="116"/>
      <c r="AG6" s="123"/>
      <c r="AH6" s="123"/>
      <c r="AI6" s="123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25"/>
      <c r="AY6" s="13"/>
      <c r="BB6" s="114"/>
    </row>
    <row r="7" spans="1:54" ht="20.100000000000001" customHeight="1" x14ac:dyDescent="0.4">
      <c r="A7" s="117">
        <v>45789</v>
      </c>
      <c r="B7" s="123"/>
      <c r="C7" s="123">
        <v>1</v>
      </c>
      <c r="D7" s="123"/>
      <c r="J7" s="115"/>
      <c r="K7" s="115"/>
      <c r="L7" s="115"/>
      <c r="M7" s="115"/>
      <c r="N7" s="115" t="s">
        <v>193</v>
      </c>
      <c r="O7" s="13">
        <f>SUBTOTAL(3,O6:O6)</f>
        <v>1</v>
      </c>
      <c r="P7" s="13">
        <f>SUBTOTAL(3,P6:P6)</f>
        <v>1</v>
      </c>
      <c r="Z7" s="25"/>
      <c r="AA7" s="13"/>
      <c r="AF7" s="116"/>
      <c r="AG7" s="123"/>
      <c r="AH7" s="123"/>
      <c r="AI7" s="123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25"/>
      <c r="AY7" s="13"/>
      <c r="BB7" s="114"/>
    </row>
    <row r="8" spans="1:54" ht="20.100000000000001" customHeight="1" x14ac:dyDescent="0.4">
      <c r="A8" s="117">
        <v>45790</v>
      </c>
      <c r="B8" s="123"/>
      <c r="C8" s="123"/>
      <c r="D8" s="123">
        <v>1</v>
      </c>
      <c r="O8" s="25">
        <v>45788</v>
      </c>
      <c r="P8" s="13" t="s">
        <v>147</v>
      </c>
      <c r="Z8" s="25"/>
      <c r="AA8" s="13"/>
      <c r="AF8" s="116"/>
      <c r="AG8" s="123"/>
      <c r="AH8" s="123"/>
      <c r="AI8" s="123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25"/>
      <c r="AY8" s="13"/>
      <c r="BB8" s="114"/>
    </row>
    <row r="9" spans="1:54" ht="20.100000000000001" customHeight="1" x14ac:dyDescent="0.4">
      <c r="A9" s="117">
        <v>45791</v>
      </c>
      <c r="B9" s="123"/>
      <c r="C9" s="123">
        <v>1</v>
      </c>
      <c r="D9" s="123"/>
      <c r="N9" s="115" t="s">
        <v>197</v>
      </c>
      <c r="O9" s="13">
        <f>SUBTOTAL(3,O8:O8)</f>
        <v>1</v>
      </c>
      <c r="P9" s="13">
        <f>SUBTOTAL(3,P8:P8)</f>
        <v>1</v>
      </c>
      <c r="Z9" s="25"/>
      <c r="AA9" s="13"/>
      <c r="AF9" s="116"/>
      <c r="AG9" s="123"/>
      <c r="AH9" s="123"/>
      <c r="AI9" s="123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25"/>
      <c r="AY9" s="13"/>
      <c r="BB9" s="114"/>
    </row>
    <row r="10" spans="1:54" ht="20.100000000000001" customHeight="1" x14ac:dyDescent="0.4">
      <c r="A10" s="117">
        <v>45792</v>
      </c>
      <c r="B10" s="123">
        <v>1</v>
      </c>
      <c r="C10" s="123"/>
      <c r="D10" s="123"/>
      <c r="M10" s="115"/>
      <c r="N10" s="115"/>
      <c r="O10" s="25">
        <v>45789</v>
      </c>
      <c r="P10" s="13" t="s">
        <v>147</v>
      </c>
      <c r="Z10" s="25"/>
      <c r="AA10" s="13"/>
      <c r="AF10" s="116"/>
      <c r="AG10" s="123"/>
      <c r="AH10" s="123"/>
      <c r="AI10" s="123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25"/>
      <c r="AY10" s="13"/>
      <c r="BB10" s="114"/>
    </row>
    <row r="11" spans="1:54" ht="20.100000000000001" customHeight="1" x14ac:dyDescent="0.4">
      <c r="A11" s="117">
        <v>45794</v>
      </c>
      <c r="B11" s="123"/>
      <c r="C11" s="123">
        <v>1</v>
      </c>
      <c r="D11" s="123"/>
      <c r="M11" s="115"/>
      <c r="N11" s="115" t="s">
        <v>406</v>
      </c>
      <c r="O11" s="13">
        <f>SUBTOTAL(3,O10:O10)</f>
        <v>1</v>
      </c>
      <c r="P11" s="13">
        <f>SUBTOTAL(3,P10:P10)</f>
        <v>1</v>
      </c>
      <c r="Z11" s="25"/>
      <c r="AA11" s="13"/>
      <c r="AF11" s="116"/>
      <c r="AG11" s="123"/>
      <c r="AH11" s="123"/>
      <c r="AI11" s="123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25"/>
      <c r="AY11" s="13"/>
      <c r="BB11" s="114"/>
    </row>
    <row r="12" spans="1:54" ht="20.100000000000001" customHeight="1" x14ac:dyDescent="0.4">
      <c r="A12" s="117">
        <v>45795</v>
      </c>
      <c r="B12" s="123">
        <v>5</v>
      </c>
      <c r="C12" s="123">
        <v>1</v>
      </c>
      <c r="D12" s="123">
        <v>1</v>
      </c>
      <c r="L12" s="115"/>
      <c r="M12" s="115"/>
      <c r="N12" s="115"/>
      <c r="O12" s="25">
        <v>45790</v>
      </c>
      <c r="P12" s="13" t="s">
        <v>148</v>
      </c>
      <c r="Z12" s="25"/>
      <c r="AA12" s="13"/>
      <c r="AF12" s="116"/>
      <c r="AG12" s="123"/>
      <c r="AH12" s="123"/>
      <c r="AI12" s="123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25"/>
      <c r="AY12" s="13"/>
      <c r="BB12" s="114"/>
    </row>
    <row r="13" spans="1:54" ht="20.100000000000001" customHeight="1" x14ac:dyDescent="0.4">
      <c r="A13" s="117">
        <v>45796</v>
      </c>
      <c r="B13" s="123"/>
      <c r="C13" s="123">
        <v>1</v>
      </c>
      <c r="D13" s="123">
        <v>1</v>
      </c>
      <c r="L13" s="115"/>
      <c r="M13" s="115"/>
      <c r="N13" s="115" t="s">
        <v>198</v>
      </c>
      <c r="O13" s="13">
        <f>SUBTOTAL(3,O12:O12)</f>
        <v>1</v>
      </c>
      <c r="P13" s="13">
        <f>SUBTOTAL(3,P12:P12)</f>
        <v>1</v>
      </c>
      <c r="Z13" s="25"/>
      <c r="AA13" s="13"/>
      <c r="AF13" s="116"/>
      <c r="AG13" s="123"/>
      <c r="AH13" s="123"/>
      <c r="AI13" s="123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25"/>
      <c r="AY13" s="13"/>
      <c r="BB13" s="114"/>
    </row>
    <row r="14" spans="1:54" ht="20.100000000000001" customHeight="1" x14ac:dyDescent="0.4">
      <c r="A14" s="117">
        <v>45798</v>
      </c>
      <c r="B14" s="123">
        <v>1</v>
      </c>
      <c r="C14" s="123">
        <v>4</v>
      </c>
      <c r="D14" s="123">
        <v>3</v>
      </c>
      <c r="L14" s="115"/>
      <c r="M14" s="115"/>
      <c r="N14" s="115"/>
      <c r="O14" s="25">
        <v>45791</v>
      </c>
      <c r="P14" s="13" t="s">
        <v>147</v>
      </c>
      <c r="Z14" s="25"/>
      <c r="AA14" s="13"/>
      <c r="AF14" s="116"/>
      <c r="AG14" s="123"/>
      <c r="AH14" s="123"/>
      <c r="AI14" s="123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25"/>
      <c r="AY14" s="13"/>
      <c r="BB14" s="114"/>
    </row>
    <row r="15" spans="1:54" ht="20.100000000000001" customHeight="1" x14ac:dyDescent="0.4">
      <c r="A15" s="117">
        <v>45799</v>
      </c>
      <c r="B15" s="123">
        <v>6</v>
      </c>
      <c r="C15" s="123">
        <v>1</v>
      </c>
      <c r="D15" s="123">
        <v>1</v>
      </c>
      <c r="L15" s="115"/>
      <c r="M15" s="115"/>
      <c r="N15" s="115" t="s">
        <v>199</v>
      </c>
      <c r="O15" s="13">
        <f>SUBTOTAL(3,O14:O14)</f>
        <v>1</v>
      </c>
      <c r="P15" s="13">
        <f>SUBTOTAL(3,P14:P14)</f>
        <v>1</v>
      </c>
      <c r="Z15" s="25"/>
      <c r="AA15" s="13"/>
      <c r="AF15" s="116"/>
      <c r="AG15" s="123"/>
      <c r="AH15" s="123"/>
      <c r="AI15" s="123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25"/>
      <c r="AY15" s="13"/>
      <c r="BB15" s="114"/>
    </row>
    <row r="16" spans="1:54" ht="20.100000000000001" customHeight="1" x14ac:dyDescent="0.4">
      <c r="A16" s="117">
        <v>45800</v>
      </c>
      <c r="B16" s="123">
        <v>6</v>
      </c>
      <c r="C16" s="123">
        <v>5</v>
      </c>
      <c r="D16" s="123">
        <v>3</v>
      </c>
      <c r="O16" s="25">
        <v>45792</v>
      </c>
      <c r="P16" s="13" t="s">
        <v>146</v>
      </c>
      <c r="Z16" s="25"/>
      <c r="AA16" s="13"/>
      <c r="AF16" s="116"/>
      <c r="AG16" s="123"/>
      <c r="AH16" s="123"/>
      <c r="AI16" s="123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25"/>
      <c r="AY16" s="13"/>
      <c r="BB16" s="114"/>
    </row>
    <row r="17" spans="1:54" ht="20.100000000000001" customHeight="1" x14ac:dyDescent="0.4">
      <c r="A17" s="117">
        <v>45801</v>
      </c>
      <c r="B17" s="123">
        <v>5</v>
      </c>
      <c r="C17" s="123">
        <v>5</v>
      </c>
      <c r="D17" s="123"/>
      <c r="N17" s="115" t="s">
        <v>200</v>
      </c>
      <c r="O17" s="13">
        <f>SUBTOTAL(3,O16:O16)</f>
        <v>1</v>
      </c>
      <c r="P17" s="13">
        <f>SUBTOTAL(3,P16:P16)</f>
        <v>1</v>
      </c>
      <c r="Z17" s="25"/>
      <c r="AA17" s="13"/>
      <c r="AF17" s="116"/>
      <c r="AG17" s="123"/>
      <c r="AH17" s="123"/>
      <c r="AI17" s="123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25"/>
      <c r="AY17" s="13"/>
      <c r="BB17" s="114"/>
    </row>
    <row r="18" spans="1:54" ht="20.100000000000001" customHeight="1" x14ac:dyDescent="0.4">
      <c r="A18" s="117">
        <v>45802</v>
      </c>
      <c r="B18" s="123"/>
      <c r="C18" s="123">
        <v>2</v>
      </c>
      <c r="D18" s="123">
        <v>2</v>
      </c>
      <c r="L18" s="115"/>
      <c r="M18" s="115"/>
      <c r="N18" s="115"/>
      <c r="O18" s="25">
        <v>45794</v>
      </c>
      <c r="P18" s="13" t="s">
        <v>147</v>
      </c>
      <c r="Z18" s="25"/>
      <c r="AA18" s="13"/>
      <c r="AF18" s="116"/>
      <c r="AG18" s="123"/>
      <c r="AH18" s="123"/>
      <c r="AI18" s="123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25"/>
      <c r="AY18" s="13"/>
      <c r="BB18" s="114"/>
    </row>
    <row r="19" spans="1:54" ht="20.100000000000001" customHeight="1" x14ac:dyDescent="0.4">
      <c r="A19" s="117">
        <v>45804</v>
      </c>
      <c r="B19" s="123">
        <v>13</v>
      </c>
      <c r="C19" s="123">
        <v>6</v>
      </c>
      <c r="D19" s="123">
        <v>5</v>
      </c>
      <c r="L19" s="115"/>
      <c r="M19" s="115"/>
      <c r="N19" s="115" t="s">
        <v>201</v>
      </c>
      <c r="O19" s="13">
        <f>SUBTOTAL(3,O18:O18)</f>
        <v>1</v>
      </c>
      <c r="P19" s="13">
        <f>SUBTOTAL(3,P18:P18)</f>
        <v>1</v>
      </c>
      <c r="Z19" s="25"/>
      <c r="AA19" s="13"/>
      <c r="AF19" s="116"/>
      <c r="AG19" s="123"/>
      <c r="AH19" s="123"/>
      <c r="AI19" s="123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25"/>
      <c r="AY19" s="13"/>
      <c r="BB19" s="114"/>
    </row>
    <row r="20" spans="1:54" ht="20.100000000000001" customHeight="1" x14ac:dyDescent="0.4">
      <c r="A20" s="117">
        <v>45805</v>
      </c>
      <c r="B20" s="123">
        <v>5</v>
      </c>
      <c r="C20" s="123">
        <v>1</v>
      </c>
      <c r="D20" s="123">
        <v>2</v>
      </c>
      <c r="K20" s="115"/>
      <c r="L20" s="115"/>
      <c r="M20" s="115"/>
      <c r="N20" s="115"/>
      <c r="O20" s="25">
        <v>45795</v>
      </c>
      <c r="P20" s="13" t="s">
        <v>146</v>
      </c>
      <c r="Z20" s="25"/>
      <c r="AA20" s="13"/>
      <c r="AF20" s="116"/>
      <c r="AG20" s="123"/>
      <c r="AH20" s="123"/>
      <c r="AI20" s="123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25"/>
      <c r="AY20" s="13"/>
      <c r="BB20" s="114"/>
    </row>
    <row r="21" spans="1:54" ht="20.100000000000001" customHeight="1" x14ac:dyDescent="0.4">
      <c r="A21" s="117">
        <v>45806</v>
      </c>
      <c r="B21" s="123">
        <v>2</v>
      </c>
      <c r="C21" s="123">
        <v>7</v>
      </c>
      <c r="D21" s="123"/>
      <c r="K21" s="115"/>
      <c r="L21" s="115"/>
      <c r="M21" s="115"/>
      <c r="N21" s="115"/>
      <c r="O21" s="25">
        <v>45795</v>
      </c>
      <c r="P21" s="13" t="s">
        <v>146</v>
      </c>
      <c r="Z21" s="25"/>
      <c r="AA21" s="13"/>
      <c r="AF21" s="116"/>
      <c r="AG21" s="123"/>
      <c r="AH21" s="123"/>
      <c r="AI21" s="123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25"/>
      <c r="AY21" s="13"/>
      <c r="BB21" s="114"/>
    </row>
    <row r="22" spans="1:54" ht="20.100000000000001" customHeight="1" x14ac:dyDescent="0.4">
      <c r="A22" s="117">
        <v>45807</v>
      </c>
      <c r="B22" s="123"/>
      <c r="C22" s="123">
        <v>1</v>
      </c>
      <c r="D22" s="123">
        <v>1</v>
      </c>
      <c r="K22" s="115"/>
      <c r="L22" s="115"/>
      <c r="M22" s="115"/>
      <c r="N22" s="115"/>
      <c r="O22" s="25">
        <v>45795</v>
      </c>
      <c r="P22" s="13" t="s">
        <v>146</v>
      </c>
      <c r="Z22" s="25"/>
      <c r="AA22" s="13"/>
      <c r="AF22" s="116"/>
      <c r="AG22" s="123"/>
      <c r="AH22" s="123"/>
      <c r="AI22" s="123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25"/>
      <c r="AY22" s="13"/>
      <c r="BB22" s="114"/>
    </row>
    <row r="23" spans="1:54" ht="20.100000000000001" customHeight="1" x14ac:dyDescent="0.4">
      <c r="A23" s="117">
        <v>45808</v>
      </c>
      <c r="B23" s="123">
        <v>11</v>
      </c>
      <c r="C23" s="123"/>
      <c r="D23" s="123"/>
      <c r="K23" s="115"/>
      <c r="L23" s="115"/>
      <c r="M23" s="115"/>
      <c r="N23" s="115"/>
      <c r="O23" s="25">
        <v>45795</v>
      </c>
      <c r="P23" s="13" t="s">
        <v>146</v>
      </c>
      <c r="Z23" s="25"/>
      <c r="AA23" s="13"/>
      <c r="AF23" s="116"/>
      <c r="AG23" s="123"/>
      <c r="AH23" s="123"/>
      <c r="AI23" s="123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25"/>
      <c r="AY23" s="13"/>
      <c r="BB23" s="114"/>
    </row>
    <row r="24" spans="1:54" ht="20.100000000000001" customHeight="1" x14ac:dyDescent="0.4">
      <c r="A24" s="117">
        <v>45809</v>
      </c>
      <c r="B24" s="123">
        <v>3</v>
      </c>
      <c r="C24" s="123">
        <v>14</v>
      </c>
      <c r="D24" s="123">
        <v>3</v>
      </c>
      <c r="F24" s="125"/>
      <c r="O24" s="25">
        <v>45795</v>
      </c>
      <c r="P24" s="13" t="s">
        <v>147</v>
      </c>
      <c r="Z24" s="25"/>
      <c r="AA24" s="13"/>
      <c r="AF24" s="116"/>
      <c r="AG24" s="123"/>
      <c r="AH24" s="123"/>
      <c r="AI24" s="123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25"/>
      <c r="AY24" s="13"/>
      <c r="BB24" s="114"/>
    </row>
    <row r="25" spans="1:54" ht="20.100000000000001" customHeight="1" x14ac:dyDescent="0.4">
      <c r="A25" s="117">
        <v>45810</v>
      </c>
      <c r="B25" s="123">
        <v>6</v>
      </c>
      <c r="C25" s="123">
        <v>1</v>
      </c>
      <c r="D25" s="123"/>
      <c r="F25" s="117"/>
      <c r="J25" s="115"/>
      <c r="K25" s="115"/>
      <c r="L25" s="115"/>
      <c r="M25" s="115"/>
      <c r="N25" s="115"/>
      <c r="O25" s="25">
        <v>45795</v>
      </c>
      <c r="P25" s="13" t="s">
        <v>142</v>
      </c>
      <c r="Z25" s="25"/>
      <c r="AA25" s="13"/>
      <c r="AF25" s="116"/>
      <c r="AG25" s="123"/>
      <c r="AH25" s="123"/>
      <c r="AI25" s="123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25"/>
      <c r="AY25" s="13"/>
      <c r="BB25" s="114"/>
    </row>
    <row r="26" spans="1:54" ht="20.100000000000001" customHeight="1" x14ac:dyDescent="0.4">
      <c r="A26" s="117">
        <v>45811</v>
      </c>
      <c r="B26" s="123">
        <v>7</v>
      </c>
      <c r="C26" s="123">
        <v>2</v>
      </c>
      <c r="D26" s="123"/>
      <c r="F26" s="117"/>
      <c r="J26" s="115"/>
      <c r="K26" s="115"/>
      <c r="L26" s="115"/>
      <c r="M26" s="115"/>
      <c r="N26" s="115"/>
      <c r="O26" s="25">
        <v>45795</v>
      </c>
      <c r="P26" s="13" t="s">
        <v>148</v>
      </c>
      <c r="Z26" s="25"/>
      <c r="AA26" s="13"/>
      <c r="AF26" s="116"/>
      <c r="AG26" s="123"/>
      <c r="AH26" s="123"/>
      <c r="AI26" s="123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25"/>
      <c r="AY26" s="13"/>
      <c r="BB26" s="114"/>
    </row>
    <row r="27" spans="1:54" ht="20.100000000000001" customHeight="1" x14ac:dyDescent="0.4">
      <c r="A27" s="117">
        <v>45812</v>
      </c>
      <c r="B27" s="123">
        <v>6</v>
      </c>
      <c r="C27" s="123">
        <v>1</v>
      </c>
      <c r="D27" s="123">
        <v>1</v>
      </c>
      <c r="F27" s="117"/>
      <c r="J27" s="115"/>
      <c r="K27" s="115"/>
      <c r="L27" s="115"/>
      <c r="M27" s="115"/>
      <c r="N27" s="115" t="s">
        <v>202</v>
      </c>
      <c r="O27" s="13">
        <f>SUBTOTAL(3,O20:O26)</f>
        <v>7</v>
      </c>
      <c r="P27" s="13">
        <f>SUBTOTAL(3,P20:P26)</f>
        <v>7</v>
      </c>
      <c r="Z27" s="25"/>
      <c r="AA27" s="13"/>
      <c r="AF27" s="116"/>
      <c r="AG27" s="123"/>
      <c r="AH27" s="123"/>
      <c r="AI27" s="123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25"/>
      <c r="AY27" s="13"/>
      <c r="BB27" s="114"/>
    </row>
    <row r="28" spans="1:54" ht="20.100000000000001" customHeight="1" x14ac:dyDescent="0.4">
      <c r="A28" s="117">
        <v>45815</v>
      </c>
      <c r="B28" s="123">
        <v>2</v>
      </c>
      <c r="C28" s="123"/>
      <c r="D28" s="123"/>
      <c r="F28" s="117"/>
      <c r="H28" s="115"/>
      <c r="I28" s="115"/>
      <c r="J28" s="115"/>
      <c r="K28" s="115"/>
      <c r="L28" s="115"/>
      <c r="M28" s="115"/>
      <c r="N28" s="115"/>
      <c r="O28" s="25">
        <v>45796</v>
      </c>
      <c r="P28" s="13" t="s">
        <v>147</v>
      </c>
      <c r="Z28" s="25"/>
      <c r="AA28" s="13"/>
      <c r="AF28" s="116"/>
      <c r="AG28" s="123"/>
      <c r="AH28" s="123"/>
      <c r="AI28" s="123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25"/>
      <c r="AY28" s="13"/>
      <c r="BB28" s="114"/>
    </row>
    <row r="29" spans="1:54" ht="20.100000000000001" customHeight="1" x14ac:dyDescent="0.4">
      <c r="A29" s="117">
        <v>45816</v>
      </c>
      <c r="B29" s="123">
        <v>2</v>
      </c>
      <c r="C29" s="123">
        <v>5</v>
      </c>
      <c r="D29" s="123"/>
      <c r="F29" s="117"/>
      <c r="H29" s="115"/>
      <c r="I29" s="115"/>
      <c r="J29" s="115"/>
      <c r="K29" s="115"/>
      <c r="L29" s="115"/>
      <c r="M29" s="115"/>
      <c r="N29" s="115"/>
      <c r="O29" s="25">
        <v>45796</v>
      </c>
      <c r="P29" s="13" t="s">
        <v>148</v>
      </c>
      <c r="Z29" s="25"/>
      <c r="AA29" s="13"/>
      <c r="AF29" s="116"/>
      <c r="AG29" s="123"/>
      <c r="AH29" s="123"/>
      <c r="AI29" s="123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25"/>
      <c r="AY29" s="13"/>
      <c r="BB29" s="114"/>
    </row>
    <row r="30" spans="1:54" ht="20.100000000000001" customHeight="1" x14ac:dyDescent="0.4">
      <c r="A30" s="117">
        <v>45821</v>
      </c>
      <c r="B30" s="123">
        <v>1</v>
      </c>
      <c r="C30" s="123"/>
      <c r="D30" s="123"/>
      <c r="F30" s="117"/>
      <c r="H30" s="115"/>
      <c r="I30" s="115"/>
      <c r="J30" s="115"/>
      <c r="K30" s="115"/>
      <c r="L30" s="115"/>
      <c r="M30" s="115"/>
      <c r="N30" s="115" t="s">
        <v>208</v>
      </c>
      <c r="O30" s="13">
        <f>SUBTOTAL(3,O28:O29)</f>
        <v>2</v>
      </c>
      <c r="P30" s="13">
        <f>SUBTOTAL(3,P28:P29)</f>
        <v>2</v>
      </c>
      <c r="Z30" s="25"/>
      <c r="AA30" s="13"/>
      <c r="AF30" s="116"/>
      <c r="AG30" s="123"/>
      <c r="AH30" s="123"/>
      <c r="AI30" s="123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25"/>
      <c r="AY30" s="13"/>
      <c r="BB30" s="114"/>
    </row>
    <row r="31" spans="1:54" ht="20.100000000000001" customHeight="1" x14ac:dyDescent="0.4">
      <c r="A31" s="117">
        <v>45824</v>
      </c>
      <c r="B31" s="123"/>
      <c r="C31" s="123">
        <v>1</v>
      </c>
      <c r="D31" s="123"/>
      <c r="F31" s="117"/>
      <c r="H31" s="115"/>
      <c r="I31" s="115"/>
      <c r="J31" s="115"/>
      <c r="K31" s="115"/>
      <c r="L31" s="115"/>
      <c r="M31" s="115"/>
      <c r="N31" s="115"/>
      <c r="O31" s="25">
        <v>45798</v>
      </c>
      <c r="P31" s="13" t="s">
        <v>147</v>
      </c>
      <c r="Z31" s="25"/>
      <c r="AA31" s="13"/>
      <c r="AF31" s="116"/>
      <c r="AG31" s="123"/>
      <c r="AH31" s="123"/>
      <c r="AI31" s="123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25"/>
      <c r="AY31" s="13"/>
      <c r="BB31" s="114"/>
    </row>
    <row r="32" spans="1:54" ht="20.100000000000001" customHeight="1" x14ac:dyDescent="0.4">
      <c r="A32" s="117">
        <v>45826</v>
      </c>
      <c r="B32" s="123">
        <v>1</v>
      </c>
      <c r="C32" s="123"/>
      <c r="D32" s="123">
        <v>1</v>
      </c>
      <c r="F32" s="117"/>
      <c r="H32" s="115"/>
      <c r="I32" s="115"/>
      <c r="J32" s="115"/>
      <c r="K32" s="115"/>
      <c r="L32" s="115"/>
      <c r="M32" s="115"/>
      <c r="N32" s="115"/>
      <c r="O32" s="25">
        <v>45798</v>
      </c>
      <c r="P32" s="13" t="s">
        <v>148</v>
      </c>
      <c r="Z32" s="25"/>
      <c r="AA32" s="13"/>
      <c r="AF32" s="116"/>
      <c r="AG32" s="123"/>
      <c r="AH32" s="123"/>
      <c r="AI32" s="123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25"/>
      <c r="AY32" s="13"/>
      <c r="BB32" s="114"/>
    </row>
    <row r="33" spans="1:54" ht="20.100000000000001" customHeight="1" x14ac:dyDescent="0.4">
      <c r="A33" s="117">
        <v>45836</v>
      </c>
      <c r="B33" s="123">
        <v>1</v>
      </c>
      <c r="C33" s="123"/>
      <c r="D33" s="123">
        <v>1</v>
      </c>
      <c r="F33" s="117"/>
      <c r="H33" s="115"/>
      <c r="I33" s="115"/>
      <c r="J33" s="115"/>
      <c r="K33" s="115"/>
      <c r="L33" s="115"/>
      <c r="M33" s="115"/>
      <c r="N33" s="115"/>
      <c r="O33" s="25">
        <v>45798</v>
      </c>
      <c r="P33" s="15" t="s">
        <v>147</v>
      </c>
      <c r="Z33" s="25"/>
      <c r="AA33" s="13"/>
      <c r="AF33" s="116"/>
      <c r="AG33" s="123"/>
      <c r="AH33" s="123"/>
      <c r="AI33" s="123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25"/>
      <c r="AY33" s="13"/>
      <c r="BB33" s="114"/>
    </row>
    <row r="34" spans="1:54" ht="20.100000000000001" customHeight="1" x14ac:dyDescent="0.4">
      <c r="A34" s="117"/>
      <c r="B34" s="123">
        <f>SUM(B3:B33)</f>
        <v>86</v>
      </c>
      <c r="C34" s="123">
        <f>SUM(C3:C33)</f>
        <v>63</v>
      </c>
      <c r="D34" s="123">
        <f>SUM(D3:D33)</f>
        <v>26</v>
      </c>
      <c r="F34" s="117"/>
      <c r="H34" s="115"/>
      <c r="I34" s="115"/>
      <c r="J34" s="115"/>
      <c r="K34" s="115"/>
      <c r="L34" s="115"/>
      <c r="M34" s="115"/>
      <c r="N34" s="115"/>
      <c r="O34" s="25">
        <v>45798</v>
      </c>
      <c r="P34" s="15" t="s">
        <v>146</v>
      </c>
      <c r="Z34" s="25"/>
      <c r="AA34" s="13"/>
      <c r="AF34" s="116"/>
      <c r="AG34" s="123"/>
      <c r="AH34" s="123"/>
      <c r="AI34" s="123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25"/>
      <c r="AY34" s="13"/>
      <c r="BB34" s="114"/>
    </row>
    <row r="35" spans="1:54" ht="20.100000000000001" customHeight="1" x14ac:dyDescent="0.4">
      <c r="A35" s="117"/>
      <c r="B35" s="123"/>
      <c r="C35" s="123"/>
      <c r="D35" s="123">
        <f>SUM(B34:D34)</f>
        <v>175</v>
      </c>
      <c r="F35" s="125"/>
      <c r="H35" s="115"/>
      <c r="I35" s="115"/>
      <c r="J35" s="115"/>
      <c r="K35" s="115"/>
      <c r="L35" s="115"/>
      <c r="M35" s="115"/>
      <c r="N35" s="115"/>
      <c r="O35" s="26">
        <v>45798</v>
      </c>
      <c r="P35" s="15" t="s">
        <v>147</v>
      </c>
      <c r="Z35" s="25"/>
      <c r="AA35" s="13"/>
      <c r="AF35" s="116"/>
      <c r="AG35" s="123"/>
      <c r="AH35" s="123"/>
      <c r="AI35" s="123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25"/>
      <c r="AY35" s="13"/>
      <c r="BB35" s="114"/>
    </row>
    <row r="36" spans="1:54" ht="20.100000000000001" customHeight="1" x14ac:dyDescent="0.4">
      <c r="A36" s="117"/>
      <c r="B36" s="123"/>
      <c r="C36" s="123"/>
      <c r="D36" s="123"/>
      <c r="F36" s="125"/>
      <c r="H36" s="115"/>
      <c r="I36" s="115"/>
      <c r="J36" s="115"/>
      <c r="K36" s="115"/>
      <c r="L36" s="115"/>
      <c r="M36" s="115"/>
      <c r="N36" s="115"/>
      <c r="O36" s="26">
        <v>45798</v>
      </c>
      <c r="P36" s="15" t="s">
        <v>148</v>
      </c>
      <c r="Z36" s="25"/>
      <c r="AA36" s="13"/>
      <c r="AF36" s="116"/>
      <c r="AG36" s="123"/>
      <c r="AH36" s="123"/>
      <c r="AI36" s="123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25"/>
      <c r="AY36" s="13"/>
      <c r="BB36" s="114"/>
    </row>
    <row r="37" spans="1:54" ht="20.100000000000001" customHeight="1" x14ac:dyDescent="0.4">
      <c r="A37" s="117"/>
      <c r="B37" s="123"/>
      <c r="C37" s="123"/>
      <c r="D37" s="123"/>
      <c r="F37" s="125"/>
      <c r="H37" s="115"/>
      <c r="I37" s="115"/>
      <c r="J37" s="115"/>
      <c r="K37" s="115"/>
      <c r="L37" s="115"/>
      <c r="M37" s="115"/>
      <c r="N37" s="115"/>
      <c r="O37" s="25">
        <v>45798</v>
      </c>
      <c r="P37" s="13" t="s">
        <v>148</v>
      </c>
      <c r="Z37" s="25"/>
      <c r="AA37" s="13"/>
      <c r="AF37" s="116"/>
      <c r="AG37" s="123"/>
      <c r="AH37" s="123"/>
      <c r="AI37" s="123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25"/>
      <c r="AY37" s="13"/>
      <c r="BB37" s="114"/>
    </row>
    <row r="38" spans="1:54" ht="20.100000000000001" customHeight="1" x14ac:dyDescent="0.4">
      <c r="A38" s="117"/>
      <c r="B38" s="123"/>
      <c r="C38" s="123"/>
      <c r="D38" s="123"/>
      <c r="F38" s="125"/>
      <c r="H38" s="115"/>
      <c r="I38" s="115"/>
      <c r="J38" s="115"/>
      <c r="K38" s="115"/>
      <c r="L38" s="115"/>
      <c r="M38" s="115"/>
      <c r="N38" s="115"/>
      <c r="O38" s="25">
        <v>45798</v>
      </c>
      <c r="P38" s="13" t="s">
        <v>147</v>
      </c>
      <c r="Z38" s="25"/>
      <c r="AA38" s="13"/>
      <c r="AF38" s="116"/>
      <c r="AG38" s="123"/>
      <c r="AH38" s="123"/>
      <c r="AI38" s="123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25"/>
      <c r="AY38" s="13"/>
      <c r="BB38" s="114"/>
    </row>
    <row r="39" spans="1:54" ht="20.100000000000001" customHeight="1" x14ac:dyDescent="0.4">
      <c r="A39" s="117"/>
      <c r="B39" s="123"/>
      <c r="C39" s="123"/>
      <c r="D39" s="123"/>
      <c r="F39" s="125"/>
      <c r="H39" s="115"/>
      <c r="I39" s="115"/>
      <c r="J39" s="115"/>
      <c r="K39" s="115"/>
      <c r="L39" s="115"/>
      <c r="M39" s="115"/>
      <c r="N39" s="115" t="s">
        <v>191</v>
      </c>
      <c r="O39" s="13">
        <f>SUBTOTAL(3,O31:O38)</f>
        <v>8</v>
      </c>
      <c r="P39" s="13">
        <f>SUBTOTAL(3,P31:P38)</f>
        <v>8</v>
      </c>
      <c r="Z39" s="25"/>
      <c r="AA39" s="13"/>
      <c r="AF39" s="116"/>
      <c r="AG39" s="123"/>
      <c r="AH39" s="123"/>
      <c r="AI39" s="123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25"/>
      <c r="AY39" s="13"/>
      <c r="BB39" s="114"/>
    </row>
    <row r="40" spans="1:54" ht="20.100000000000001" customHeight="1" x14ac:dyDescent="0.4">
      <c r="A40" s="117"/>
      <c r="B40" s="123"/>
      <c r="C40" s="123"/>
      <c r="D40" s="123"/>
      <c r="F40" s="125"/>
      <c r="H40" s="115"/>
      <c r="I40" s="115"/>
      <c r="J40" s="115"/>
      <c r="K40" s="115"/>
      <c r="L40" s="115"/>
      <c r="M40" s="115"/>
      <c r="N40" s="115"/>
      <c r="O40" s="25">
        <v>45799</v>
      </c>
      <c r="P40" s="13" t="s">
        <v>146</v>
      </c>
      <c r="Z40" s="25"/>
      <c r="AA40" s="13"/>
      <c r="AF40" s="116"/>
      <c r="AG40" s="123"/>
      <c r="AH40" s="123"/>
      <c r="AI40" s="123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25"/>
      <c r="AY40" s="13"/>
      <c r="BB40" s="114"/>
    </row>
    <row r="41" spans="1:54" ht="20.100000000000001" customHeight="1" x14ac:dyDescent="0.4">
      <c r="A41" s="117"/>
      <c r="B41" s="123"/>
      <c r="C41" s="123"/>
      <c r="D41" s="123"/>
      <c r="F41" s="125"/>
      <c r="H41" s="115"/>
      <c r="I41" s="115"/>
      <c r="J41" s="115"/>
      <c r="K41" s="115"/>
      <c r="L41" s="115"/>
      <c r="M41" s="115"/>
      <c r="N41" s="115"/>
      <c r="O41" s="25">
        <v>45799</v>
      </c>
      <c r="P41" s="13" t="s">
        <v>146</v>
      </c>
      <c r="Z41" s="25"/>
      <c r="AA41" s="13"/>
      <c r="AF41" s="116"/>
      <c r="AG41" s="123"/>
      <c r="AH41" s="123"/>
      <c r="AI41" s="123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25"/>
      <c r="AY41" s="13"/>
      <c r="BB41" s="114"/>
    </row>
    <row r="42" spans="1:54" ht="20.100000000000001" customHeight="1" x14ac:dyDescent="0.4">
      <c r="A42" s="117"/>
      <c r="B42" s="123"/>
      <c r="C42" s="123"/>
      <c r="D42" s="123"/>
      <c r="F42" s="125"/>
      <c r="H42" s="115"/>
      <c r="I42" s="115"/>
      <c r="J42" s="115"/>
      <c r="K42" s="115"/>
      <c r="L42" s="115"/>
      <c r="M42" s="115"/>
      <c r="N42" s="115"/>
      <c r="O42" s="25">
        <v>45799</v>
      </c>
      <c r="P42" s="13" t="s">
        <v>146</v>
      </c>
      <c r="Z42" s="25"/>
      <c r="AA42" s="13"/>
      <c r="AF42" s="116"/>
      <c r="AG42" s="123"/>
      <c r="AH42" s="123"/>
      <c r="AI42" s="123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25"/>
      <c r="AY42" s="13"/>
      <c r="BB42" s="114"/>
    </row>
    <row r="43" spans="1:54" ht="20.100000000000001" customHeight="1" x14ac:dyDescent="0.4">
      <c r="A43" s="117"/>
      <c r="B43" s="123"/>
      <c r="C43" s="123"/>
      <c r="D43" s="123"/>
      <c r="F43" s="125"/>
      <c r="H43" s="115"/>
      <c r="I43" s="115"/>
      <c r="J43" s="115"/>
      <c r="K43" s="115"/>
      <c r="L43" s="115"/>
      <c r="M43" s="115"/>
      <c r="N43" s="115"/>
      <c r="O43" s="25">
        <v>45799</v>
      </c>
      <c r="P43" s="13" t="s">
        <v>147</v>
      </c>
      <c r="Z43" s="25"/>
      <c r="AA43" s="13"/>
      <c r="AF43" s="116"/>
      <c r="AG43" s="123"/>
      <c r="AH43" s="123"/>
      <c r="AI43" s="123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25"/>
      <c r="AY43" s="13"/>
      <c r="BB43" s="114"/>
    </row>
    <row r="44" spans="1:54" ht="20.100000000000001" customHeight="1" x14ac:dyDescent="0.4">
      <c r="A44" s="117"/>
      <c r="B44" s="123"/>
      <c r="C44" s="123"/>
      <c r="D44" s="123"/>
      <c r="F44" s="125"/>
      <c r="H44" s="115"/>
      <c r="I44" s="115"/>
      <c r="J44" s="115"/>
      <c r="K44" s="115"/>
      <c r="L44" s="115"/>
      <c r="M44" s="115"/>
      <c r="N44" s="115"/>
      <c r="O44" s="25">
        <v>45799</v>
      </c>
      <c r="P44" s="13" t="s">
        <v>146</v>
      </c>
      <c r="Z44" s="25"/>
      <c r="AA44" s="13"/>
      <c r="AF44" s="116"/>
      <c r="AG44" s="123"/>
      <c r="AH44" s="123"/>
      <c r="AI44" s="123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25"/>
      <c r="AY44" s="13"/>
      <c r="BB44" s="114"/>
    </row>
    <row r="45" spans="1:54" ht="20.100000000000001" customHeight="1" x14ac:dyDescent="0.4">
      <c r="A45" s="117"/>
      <c r="B45" s="123"/>
      <c r="C45" s="123"/>
      <c r="D45" s="123"/>
      <c r="F45" s="125"/>
      <c r="H45" s="115"/>
      <c r="I45" s="115"/>
      <c r="J45" s="115"/>
      <c r="K45" s="115"/>
      <c r="L45" s="115"/>
      <c r="M45" s="115"/>
      <c r="N45" s="115"/>
      <c r="O45" s="25">
        <v>45799</v>
      </c>
      <c r="P45" s="13" t="s">
        <v>146</v>
      </c>
      <c r="Z45" s="25"/>
      <c r="AA45" s="13"/>
      <c r="AF45" s="116"/>
      <c r="AG45" s="123"/>
      <c r="AH45" s="123"/>
      <c r="AI45" s="123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25"/>
      <c r="AY45" s="13"/>
      <c r="BB45" s="114"/>
    </row>
    <row r="46" spans="1:54" ht="20.100000000000001" customHeight="1" x14ac:dyDescent="0.4">
      <c r="A46" s="117"/>
      <c r="B46" s="123"/>
      <c r="C46" s="123"/>
      <c r="D46" s="123"/>
      <c r="F46" s="125"/>
      <c r="H46" s="115"/>
      <c r="I46" s="115"/>
      <c r="J46" s="115"/>
      <c r="K46" s="115"/>
      <c r="L46" s="115"/>
      <c r="M46" s="115"/>
      <c r="N46" s="115"/>
      <c r="O46" s="25">
        <v>45799</v>
      </c>
      <c r="P46" s="25" t="s">
        <v>146</v>
      </c>
      <c r="Z46" s="25"/>
      <c r="AA46" s="13"/>
      <c r="AF46" s="116"/>
      <c r="AG46" s="123"/>
      <c r="AH46" s="123"/>
      <c r="AI46" s="123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25"/>
      <c r="AY46" s="13"/>
      <c r="BB46" s="114"/>
    </row>
    <row r="47" spans="1:54" ht="20.100000000000001" customHeight="1" x14ac:dyDescent="0.4">
      <c r="A47" s="117"/>
      <c r="B47" s="123"/>
      <c r="C47" s="123"/>
      <c r="D47" s="123"/>
      <c r="F47" s="125"/>
      <c r="O47" s="25">
        <v>45799</v>
      </c>
      <c r="P47" s="13" t="s">
        <v>148</v>
      </c>
      <c r="V47" s="115"/>
      <c r="W47" s="115"/>
      <c r="X47" s="115"/>
      <c r="Y47" s="115"/>
      <c r="Z47" s="25">
        <v>45669</v>
      </c>
      <c r="AA47" s="13" t="s">
        <v>147</v>
      </c>
      <c r="AF47" s="116"/>
      <c r="AG47" s="123"/>
      <c r="AH47" s="123"/>
      <c r="AI47" s="123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25"/>
      <c r="AY47" s="13"/>
      <c r="BB47" s="114"/>
    </row>
    <row r="48" spans="1:54" ht="20.100000000000001" customHeight="1" x14ac:dyDescent="0.4">
      <c r="A48" s="117"/>
      <c r="B48" s="123"/>
      <c r="C48" s="123"/>
      <c r="D48" s="123"/>
      <c r="F48" s="125"/>
      <c r="N48" s="115" t="s">
        <v>209</v>
      </c>
      <c r="O48" s="13">
        <f>SUBTOTAL(3,O40:O47)</f>
        <v>8</v>
      </c>
      <c r="P48" s="13">
        <f>SUBTOTAL(3,P40:P47)</f>
        <v>8</v>
      </c>
      <c r="V48" s="115"/>
      <c r="W48" s="115"/>
      <c r="X48" s="115"/>
      <c r="Y48" s="115"/>
      <c r="Z48" s="25"/>
      <c r="AA48" s="13"/>
      <c r="AF48" s="116"/>
      <c r="AG48" s="123"/>
      <c r="AH48" s="123"/>
      <c r="AI48" s="123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25"/>
      <c r="AY48" s="13"/>
      <c r="BB48" s="114"/>
    </row>
    <row r="49" spans="1:54" ht="20.100000000000001" customHeight="1" x14ac:dyDescent="0.4">
      <c r="A49" s="117"/>
      <c r="B49" s="123"/>
      <c r="C49" s="123"/>
      <c r="D49" s="123"/>
      <c r="F49" s="125"/>
      <c r="O49" s="25">
        <v>45800</v>
      </c>
      <c r="P49" s="15" t="s">
        <v>146</v>
      </c>
      <c r="V49" s="115"/>
      <c r="W49" s="115"/>
      <c r="X49" s="115"/>
      <c r="Y49" s="115"/>
      <c r="Z49" s="25"/>
      <c r="AA49" s="13"/>
      <c r="AF49" s="116"/>
      <c r="AG49" s="123"/>
      <c r="AH49" s="123"/>
      <c r="AI49" s="123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25"/>
      <c r="AY49" s="13"/>
      <c r="BB49" s="114"/>
    </row>
    <row r="50" spans="1:54" ht="20.100000000000001" customHeight="1" x14ac:dyDescent="0.4">
      <c r="A50" s="117"/>
      <c r="B50" s="123"/>
      <c r="C50" s="123"/>
      <c r="D50" s="123"/>
      <c r="F50" s="125"/>
      <c r="I50" s="115"/>
      <c r="J50" s="115"/>
      <c r="K50" s="115"/>
      <c r="L50" s="115"/>
      <c r="M50" s="115"/>
      <c r="N50" s="115"/>
      <c r="O50" s="25">
        <v>45800</v>
      </c>
      <c r="P50" s="15" t="s">
        <v>147</v>
      </c>
      <c r="V50" s="115"/>
      <c r="W50" s="115"/>
      <c r="X50" s="115"/>
      <c r="Y50" s="115"/>
      <c r="Z50" s="25"/>
      <c r="AA50" s="13"/>
      <c r="AF50" s="116"/>
      <c r="AG50" s="123"/>
      <c r="AH50" s="123"/>
      <c r="AI50" s="123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25"/>
      <c r="AY50" s="13"/>
      <c r="BB50" s="114"/>
    </row>
    <row r="51" spans="1:54" ht="20.100000000000001" customHeight="1" x14ac:dyDescent="0.4">
      <c r="A51" s="117"/>
      <c r="B51" s="123"/>
      <c r="C51" s="123"/>
      <c r="D51" s="123"/>
      <c r="F51" s="125"/>
      <c r="H51" s="115"/>
      <c r="I51" s="115"/>
      <c r="J51" s="115"/>
      <c r="K51" s="115"/>
      <c r="L51" s="115"/>
      <c r="M51" s="115"/>
      <c r="N51" s="115"/>
      <c r="O51" s="25">
        <v>45800</v>
      </c>
      <c r="P51" s="15" t="s">
        <v>147</v>
      </c>
      <c r="V51" s="115"/>
      <c r="W51" s="115"/>
      <c r="X51" s="115"/>
      <c r="Y51" s="115"/>
      <c r="Z51" s="25"/>
      <c r="AA51" s="13"/>
      <c r="AF51" s="116"/>
      <c r="AG51" s="123"/>
      <c r="AH51" s="123"/>
      <c r="AI51" s="123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25"/>
      <c r="AY51" s="13"/>
      <c r="BB51" s="114"/>
    </row>
    <row r="52" spans="1:54" ht="20.100000000000001" customHeight="1" x14ac:dyDescent="0.4">
      <c r="A52" s="117"/>
      <c r="B52" s="123"/>
      <c r="C52" s="123"/>
      <c r="D52" s="123"/>
      <c r="F52" s="125"/>
      <c r="H52" s="115"/>
      <c r="I52" s="115"/>
      <c r="J52" s="115"/>
      <c r="K52" s="115"/>
      <c r="L52" s="115"/>
      <c r="M52" s="115"/>
      <c r="N52" s="115"/>
      <c r="O52" s="25">
        <v>45800</v>
      </c>
      <c r="P52" s="15" t="s">
        <v>146</v>
      </c>
      <c r="V52" s="115"/>
      <c r="W52" s="115"/>
      <c r="X52" s="115"/>
      <c r="Y52" s="115"/>
      <c r="Z52" s="25"/>
      <c r="AA52" s="13"/>
      <c r="AF52" s="116"/>
      <c r="AG52" s="123"/>
      <c r="AH52" s="123"/>
      <c r="AI52" s="123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25"/>
      <c r="AY52" s="13"/>
      <c r="BB52" s="114"/>
    </row>
    <row r="53" spans="1:54" ht="20.100000000000001" customHeight="1" x14ac:dyDescent="0.4">
      <c r="A53" s="117"/>
      <c r="B53" s="123"/>
      <c r="C53" s="123"/>
      <c r="D53" s="123"/>
      <c r="F53" s="125"/>
      <c r="H53" s="115"/>
      <c r="I53" s="115"/>
      <c r="J53" s="115"/>
      <c r="K53" s="115"/>
      <c r="L53" s="115"/>
      <c r="M53" s="115"/>
      <c r="N53" s="115"/>
      <c r="O53" s="25">
        <v>45800</v>
      </c>
      <c r="P53" s="15" t="s">
        <v>146</v>
      </c>
      <c r="V53" s="115"/>
      <c r="W53" s="115"/>
      <c r="X53" s="115"/>
      <c r="Y53" s="115"/>
      <c r="Z53" s="25"/>
      <c r="AA53" s="13"/>
      <c r="AF53" s="116"/>
      <c r="AG53" s="123"/>
      <c r="AH53" s="123"/>
      <c r="AI53" s="123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25"/>
      <c r="AY53" s="13"/>
      <c r="BB53" s="114"/>
    </row>
    <row r="54" spans="1:54" ht="20.100000000000001" customHeight="1" x14ac:dyDescent="0.4">
      <c r="A54" s="117"/>
      <c r="B54" s="123"/>
      <c r="C54" s="123"/>
      <c r="D54" s="123"/>
      <c r="F54" s="125"/>
      <c r="H54" s="115"/>
      <c r="I54" s="115"/>
      <c r="J54" s="115"/>
      <c r="K54" s="115"/>
      <c r="L54" s="115"/>
      <c r="M54" s="115"/>
      <c r="N54" s="115"/>
      <c r="O54" s="25">
        <v>45800</v>
      </c>
      <c r="P54" s="13" t="s">
        <v>148</v>
      </c>
      <c r="V54" s="115"/>
      <c r="W54" s="115"/>
      <c r="X54" s="115"/>
      <c r="Y54" s="115"/>
      <c r="Z54" s="25"/>
      <c r="AA54" s="13"/>
      <c r="AF54" s="116"/>
      <c r="AG54" s="123"/>
      <c r="AH54" s="123"/>
      <c r="AI54" s="123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25"/>
      <c r="AY54" s="13"/>
      <c r="BB54" s="114"/>
    </row>
    <row r="55" spans="1:54" ht="20.100000000000001" customHeight="1" x14ac:dyDescent="0.4">
      <c r="A55" s="117"/>
      <c r="B55" s="123"/>
      <c r="C55" s="123"/>
      <c r="D55" s="123"/>
      <c r="F55" s="125"/>
      <c r="H55" s="115"/>
      <c r="I55" s="115"/>
      <c r="J55" s="115"/>
      <c r="K55" s="115"/>
      <c r="L55" s="115"/>
      <c r="M55" s="115"/>
      <c r="N55" s="115"/>
      <c r="O55" s="25">
        <v>45800</v>
      </c>
      <c r="P55" s="13" t="s">
        <v>146</v>
      </c>
      <c r="V55" s="115"/>
      <c r="W55" s="115"/>
      <c r="X55" s="115"/>
      <c r="Y55" s="115"/>
      <c r="Z55" s="25"/>
      <c r="AA55" s="13"/>
      <c r="AF55" s="116"/>
      <c r="AG55" s="123"/>
      <c r="AH55" s="123"/>
      <c r="AI55" s="123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25"/>
      <c r="AY55" s="13"/>
      <c r="BB55" s="114"/>
    </row>
    <row r="56" spans="1:54" ht="20.100000000000001" customHeight="1" x14ac:dyDescent="0.4">
      <c r="A56" s="117"/>
      <c r="B56" s="123"/>
      <c r="C56" s="123"/>
      <c r="D56" s="123"/>
      <c r="F56" s="125"/>
      <c r="H56" s="115"/>
      <c r="I56" s="115"/>
      <c r="J56" s="115"/>
      <c r="K56" s="115"/>
      <c r="L56" s="115"/>
      <c r="M56" s="115"/>
      <c r="N56" s="115"/>
      <c r="O56" s="25">
        <v>45800</v>
      </c>
      <c r="P56" s="13" t="s">
        <v>148</v>
      </c>
      <c r="V56" s="115"/>
      <c r="W56" s="115"/>
      <c r="X56" s="115"/>
      <c r="Y56" s="115"/>
      <c r="Z56" s="25"/>
      <c r="AA56" s="13"/>
      <c r="AF56" s="116"/>
      <c r="AG56" s="123"/>
      <c r="AH56" s="123"/>
      <c r="AI56" s="123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25"/>
      <c r="AY56" s="13"/>
      <c r="BB56" s="114"/>
    </row>
    <row r="57" spans="1:54" ht="20.100000000000001" customHeight="1" x14ac:dyDescent="0.4">
      <c r="A57" s="117"/>
      <c r="B57" s="123"/>
      <c r="C57" s="123"/>
      <c r="D57" s="123"/>
      <c r="F57" s="125"/>
      <c r="H57" s="115"/>
      <c r="I57" s="115"/>
      <c r="J57" s="115"/>
      <c r="K57" s="115"/>
      <c r="L57" s="115"/>
      <c r="M57" s="115"/>
      <c r="N57" s="115"/>
      <c r="O57" s="25">
        <v>45800</v>
      </c>
      <c r="P57" s="13" t="s">
        <v>146</v>
      </c>
      <c r="V57" s="115"/>
      <c r="W57" s="115"/>
      <c r="X57" s="115"/>
      <c r="Y57" s="115"/>
      <c r="Z57" s="25"/>
      <c r="AA57" s="13"/>
      <c r="AF57" s="116"/>
      <c r="AG57" s="123"/>
      <c r="AH57" s="123"/>
      <c r="AI57" s="123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25"/>
      <c r="AY57" s="13"/>
      <c r="BB57" s="114"/>
    </row>
    <row r="58" spans="1:54" ht="20.100000000000001" customHeight="1" x14ac:dyDescent="0.4">
      <c r="A58" s="117"/>
      <c r="B58" s="123"/>
      <c r="C58" s="123"/>
      <c r="D58" s="123"/>
      <c r="F58" s="125"/>
      <c r="O58" s="25">
        <v>45800</v>
      </c>
      <c r="P58" s="13" t="s">
        <v>148</v>
      </c>
      <c r="V58" s="115"/>
      <c r="W58" s="115"/>
      <c r="X58" s="115"/>
      <c r="Y58" s="115"/>
      <c r="Z58" s="25">
        <v>45671</v>
      </c>
      <c r="AA58" s="13" t="s">
        <v>146</v>
      </c>
      <c r="AF58" s="116"/>
      <c r="AG58" s="123"/>
      <c r="AH58" s="123"/>
      <c r="AI58" s="123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25"/>
      <c r="AY58" s="13"/>
      <c r="BB58" s="114"/>
    </row>
    <row r="59" spans="1:54" ht="20.100000000000001" customHeight="1" x14ac:dyDescent="0.4">
      <c r="A59" s="117"/>
      <c r="B59" s="123"/>
      <c r="C59" s="123"/>
      <c r="D59" s="123"/>
      <c r="F59" s="125"/>
      <c r="J59" s="115"/>
      <c r="K59" s="115"/>
      <c r="L59" s="115"/>
      <c r="M59" s="115"/>
      <c r="N59" s="115"/>
      <c r="O59" s="25">
        <v>45800</v>
      </c>
      <c r="P59" s="13" t="s">
        <v>147</v>
      </c>
      <c r="V59" s="115"/>
      <c r="W59" s="115"/>
      <c r="X59" s="115"/>
      <c r="Y59" s="115"/>
      <c r="Z59" s="25"/>
      <c r="AA59" s="13"/>
      <c r="AF59" s="116"/>
      <c r="AG59" s="123"/>
      <c r="AH59" s="123"/>
      <c r="AI59" s="123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25"/>
      <c r="AY59" s="13"/>
      <c r="BB59" s="114"/>
    </row>
    <row r="60" spans="1:54" ht="20.100000000000001" customHeight="1" x14ac:dyDescent="0.4">
      <c r="A60" s="117"/>
      <c r="B60" s="123"/>
      <c r="C60" s="123"/>
      <c r="D60" s="123"/>
      <c r="F60" s="125"/>
      <c r="J60" s="115"/>
      <c r="K60" s="115"/>
      <c r="L60" s="115"/>
      <c r="M60" s="115"/>
      <c r="N60" s="115"/>
      <c r="O60" s="25">
        <v>45800</v>
      </c>
      <c r="P60" s="13" t="s">
        <v>147</v>
      </c>
      <c r="V60" s="115"/>
      <c r="W60" s="115"/>
      <c r="X60" s="115"/>
      <c r="Y60" s="115"/>
      <c r="Z60" s="25"/>
      <c r="AA60" s="13"/>
      <c r="AF60" s="116"/>
      <c r="AG60" s="123"/>
      <c r="AH60" s="123"/>
      <c r="AI60" s="123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25"/>
      <c r="AY60" s="13"/>
      <c r="BB60" s="114"/>
    </row>
    <row r="61" spans="1:54" ht="20.100000000000001" customHeight="1" x14ac:dyDescent="0.4">
      <c r="A61" s="117"/>
      <c r="B61" s="123"/>
      <c r="C61" s="123"/>
      <c r="D61" s="123"/>
      <c r="F61" s="125"/>
      <c r="O61" s="25">
        <v>45800</v>
      </c>
      <c r="P61" s="15" t="s">
        <v>146</v>
      </c>
      <c r="T61" s="115"/>
      <c r="U61" s="115"/>
      <c r="V61" s="115"/>
      <c r="W61" s="115"/>
      <c r="X61" s="115"/>
      <c r="Y61" s="115"/>
      <c r="Z61" s="25">
        <v>45671</v>
      </c>
      <c r="AA61" s="13" t="s">
        <v>148</v>
      </c>
      <c r="AF61" s="116"/>
      <c r="AG61" s="123"/>
      <c r="AH61" s="123"/>
      <c r="AI61" s="123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25"/>
      <c r="AY61" s="13"/>
      <c r="BB61" s="114"/>
    </row>
    <row r="62" spans="1:54" ht="20.100000000000001" customHeight="1" x14ac:dyDescent="0.4">
      <c r="A62" s="117"/>
      <c r="B62" s="123"/>
      <c r="C62" s="123"/>
      <c r="D62" s="123"/>
      <c r="O62" s="25">
        <v>45800</v>
      </c>
      <c r="P62" s="15" t="s">
        <v>147</v>
      </c>
      <c r="T62" s="115"/>
      <c r="U62" s="115"/>
      <c r="V62" s="115"/>
      <c r="W62" s="115"/>
      <c r="X62" s="115"/>
      <c r="Y62" s="115"/>
      <c r="Z62" s="25"/>
      <c r="AA62" s="13"/>
      <c r="AF62" s="116"/>
      <c r="AG62" s="123"/>
      <c r="AH62" s="123"/>
      <c r="AI62" s="123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25"/>
      <c r="AY62" s="13"/>
      <c r="BB62" s="114"/>
    </row>
    <row r="63" spans="1:54" ht="20.100000000000001" customHeight="1" x14ac:dyDescent="0.4">
      <c r="A63" s="117"/>
      <c r="B63" s="123"/>
      <c r="C63" s="123"/>
      <c r="D63" s="123"/>
      <c r="N63" s="115" t="s">
        <v>210</v>
      </c>
      <c r="O63" s="13">
        <f>SUBTOTAL(3,O49:O62)</f>
        <v>14</v>
      </c>
      <c r="P63" s="15">
        <f>SUBTOTAL(3,P49:P62)</f>
        <v>14</v>
      </c>
      <c r="T63" s="115"/>
      <c r="U63" s="115"/>
      <c r="V63" s="115"/>
      <c r="W63" s="115"/>
      <c r="X63" s="115"/>
      <c r="Y63" s="115"/>
      <c r="Z63" s="25"/>
      <c r="AA63" s="13"/>
      <c r="AF63" s="116"/>
      <c r="AG63" s="123"/>
      <c r="AH63" s="123"/>
      <c r="AI63" s="123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25"/>
      <c r="AY63" s="13"/>
      <c r="BB63" s="114"/>
    </row>
    <row r="64" spans="1:54" ht="20.100000000000001" customHeight="1" x14ac:dyDescent="0.4">
      <c r="A64" s="117"/>
      <c r="B64" s="123"/>
      <c r="C64" s="123"/>
      <c r="D64" s="123"/>
      <c r="O64" s="25">
        <v>45801</v>
      </c>
      <c r="P64" s="15" t="s">
        <v>146</v>
      </c>
      <c r="T64" s="115"/>
      <c r="U64" s="115"/>
      <c r="V64" s="115"/>
      <c r="W64" s="115"/>
      <c r="X64" s="115"/>
      <c r="Y64" s="115"/>
      <c r="Z64" s="25"/>
      <c r="AA64" s="13"/>
      <c r="AF64" s="116"/>
      <c r="AG64" s="123"/>
      <c r="AH64" s="123"/>
      <c r="AI64" s="123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25"/>
      <c r="AY64" s="13"/>
      <c r="BB64" s="114"/>
    </row>
    <row r="65" spans="1:54" ht="20.100000000000001" customHeight="1" x14ac:dyDescent="0.4">
      <c r="A65" s="117"/>
      <c r="B65" s="123"/>
      <c r="C65" s="123"/>
      <c r="D65" s="123"/>
      <c r="M65" s="115"/>
      <c r="N65" s="115"/>
      <c r="O65" s="25">
        <v>45801</v>
      </c>
      <c r="P65" s="15" t="s">
        <v>146</v>
      </c>
      <c r="T65" s="115"/>
      <c r="U65" s="115"/>
      <c r="V65" s="115"/>
      <c r="W65" s="115"/>
      <c r="X65" s="115"/>
      <c r="Y65" s="115"/>
      <c r="Z65" s="25"/>
      <c r="AA65" s="13"/>
      <c r="AF65" s="116"/>
      <c r="AG65" s="123"/>
      <c r="AH65" s="123"/>
      <c r="AI65" s="123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25"/>
      <c r="AY65" s="13"/>
      <c r="BB65" s="114"/>
    </row>
    <row r="66" spans="1:54" ht="20.100000000000001" customHeight="1" x14ac:dyDescent="0.4">
      <c r="A66" s="117"/>
      <c r="B66" s="123"/>
      <c r="C66" s="123"/>
      <c r="D66" s="123"/>
      <c r="O66" s="25">
        <v>45801</v>
      </c>
      <c r="P66" s="15" t="s">
        <v>146</v>
      </c>
      <c r="T66" s="115"/>
      <c r="U66" s="115"/>
      <c r="V66" s="115"/>
      <c r="W66" s="115"/>
      <c r="X66" s="115"/>
      <c r="Y66" s="115"/>
      <c r="Z66" s="25"/>
      <c r="AA66" s="13"/>
      <c r="AF66" s="116"/>
      <c r="AG66" s="123"/>
      <c r="AH66" s="123"/>
      <c r="AI66" s="123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25"/>
      <c r="AY66" s="13"/>
      <c r="BB66" s="114"/>
    </row>
    <row r="67" spans="1:54" ht="20.100000000000001" customHeight="1" x14ac:dyDescent="0.4">
      <c r="A67" s="117"/>
      <c r="B67" s="123"/>
      <c r="C67" s="123"/>
      <c r="D67" s="123"/>
      <c r="K67" s="115"/>
      <c r="L67" s="115"/>
      <c r="M67" s="115"/>
      <c r="N67" s="115"/>
      <c r="O67" s="25">
        <v>45801</v>
      </c>
      <c r="P67" s="15" t="s">
        <v>147</v>
      </c>
      <c r="T67" s="115"/>
      <c r="U67" s="115"/>
      <c r="V67" s="115"/>
      <c r="W67" s="115"/>
      <c r="X67" s="115"/>
      <c r="Y67" s="115"/>
      <c r="Z67" s="25"/>
      <c r="AA67" s="13"/>
      <c r="AF67" s="116"/>
      <c r="AG67" s="123"/>
      <c r="AH67" s="123"/>
      <c r="AI67" s="123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25"/>
      <c r="AY67" s="13"/>
      <c r="BB67" s="114"/>
    </row>
    <row r="68" spans="1:54" ht="20.100000000000001" customHeight="1" x14ac:dyDescent="0.4">
      <c r="A68" s="117"/>
      <c r="B68" s="123"/>
      <c r="C68" s="123"/>
      <c r="D68" s="123"/>
      <c r="J68" s="115"/>
      <c r="K68" s="115"/>
      <c r="L68" s="115"/>
      <c r="M68" s="115"/>
      <c r="N68" s="115"/>
      <c r="O68" s="25">
        <v>45801</v>
      </c>
      <c r="P68" s="15" t="s">
        <v>147</v>
      </c>
      <c r="T68" s="115"/>
      <c r="U68" s="115"/>
      <c r="V68" s="115"/>
      <c r="W68" s="115"/>
      <c r="X68" s="115"/>
      <c r="Y68" s="115"/>
      <c r="Z68" s="25"/>
      <c r="AA68" s="13"/>
      <c r="AF68" s="116"/>
      <c r="AG68" s="123"/>
      <c r="AH68" s="123"/>
      <c r="AI68" s="123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25"/>
      <c r="AY68" s="13"/>
      <c r="BB68" s="114"/>
    </row>
    <row r="69" spans="1:54" ht="20.100000000000001" customHeight="1" x14ac:dyDescent="0.4">
      <c r="A69" s="117"/>
      <c r="B69" s="123"/>
      <c r="C69" s="123"/>
      <c r="D69" s="123"/>
      <c r="I69" s="115"/>
      <c r="J69" s="115"/>
      <c r="K69" s="115"/>
      <c r="L69" s="115"/>
      <c r="M69" s="115"/>
      <c r="N69" s="115"/>
      <c r="O69" s="25">
        <v>45801</v>
      </c>
      <c r="P69" s="15" t="s">
        <v>147</v>
      </c>
      <c r="T69" s="115"/>
      <c r="U69" s="115"/>
      <c r="V69" s="115"/>
      <c r="W69" s="115"/>
      <c r="X69" s="115"/>
      <c r="Y69" s="115"/>
      <c r="Z69" s="25"/>
      <c r="AA69" s="13"/>
      <c r="AF69" s="116"/>
      <c r="AG69" s="123"/>
      <c r="AH69" s="123"/>
      <c r="AI69" s="123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25"/>
      <c r="AY69" s="13"/>
      <c r="BB69" s="114"/>
    </row>
    <row r="70" spans="1:54" ht="20.100000000000001" customHeight="1" x14ac:dyDescent="0.4">
      <c r="A70" s="117"/>
      <c r="B70" s="123"/>
      <c r="C70" s="123"/>
      <c r="D70" s="123"/>
      <c r="I70" s="115"/>
      <c r="J70" s="115"/>
      <c r="K70" s="115"/>
      <c r="L70" s="115"/>
      <c r="M70" s="115"/>
      <c r="N70" s="115"/>
      <c r="O70" s="25">
        <v>45801</v>
      </c>
      <c r="P70" s="13" t="s">
        <v>147</v>
      </c>
      <c r="T70" s="115"/>
      <c r="U70" s="115"/>
      <c r="V70" s="115"/>
      <c r="W70" s="115"/>
      <c r="X70" s="115"/>
      <c r="Y70" s="115"/>
      <c r="Z70" s="25"/>
      <c r="AA70" s="13"/>
      <c r="AF70" s="116"/>
      <c r="AG70" s="123"/>
      <c r="AH70" s="123"/>
      <c r="AI70" s="123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25"/>
      <c r="AY70" s="13"/>
      <c r="BB70" s="114"/>
    </row>
    <row r="71" spans="1:54" ht="20.100000000000001" customHeight="1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115"/>
      <c r="O71" s="25">
        <v>45801</v>
      </c>
      <c r="P71" s="13" t="s">
        <v>147</v>
      </c>
      <c r="T71" s="115"/>
      <c r="U71" s="115"/>
      <c r="V71" s="115"/>
      <c r="W71" s="115"/>
      <c r="X71" s="115"/>
      <c r="Y71" s="115"/>
      <c r="Z71" s="25"/>
      <c r="AA71" s="13"/>
      <c r="AF71" s="116"/>
      <c r="AG71" s="123"/>
      <c r="AH71" s="123"/>
      <c r="AI71" s="123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25"/>
      <c r="AY71" s="13"/>
      <c r="BB71" s="114"/>
    </row>
    <row r="72" spans="1:54" ht="20.100000000000001" customHeight="1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115"/>
      <c r="O72" s="25">
        <v>45801</v>
      </c>
      <c r="P72" s="13" t="s">
        <v>146</v>
      </c>
      <c r="T72" s="115"/>
      <c r="U72" s="115"/>
      <c r="V72" s="115"/>
      <c r="W72" s="115"/>
      <c r="X72" s="115"/>
      <c r="Y72" s="115"/>
      <c r="Z72" s="25"/>
      <c r="AA72" s="13"/>
      <c r="AF72" s="116"/>
      <c r="AG72" s="123"/>
      <c r="AH72" s="123"/>
      <c r="AI72" s="123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25"/>
      <c r="AY72" s="13"/>
      <c r="BB72" s="114"/>
    </row>
    <row r="73" spans="1:54" ht="20.100000000000001" customHeight="1" x14ac:dyDescent="0.4">
      <c r="A73" s="117"/>
      <c r="B73" s="123"/>
      <c r="C73" s="123"/>
      <c r="D73" s="123"/>
      <c r="O73" s="25">
        <v>45801</v>
      </c>
      <c r="P73" s="13" t="s">
        <v>146</v>
      </c>
      <c r="T73" s="115"/>
      <c r="U73" s="115"/>
      <c r="V73" s="115"/>
      <c r="W73" s="115"/>
      <c r="X73" s="115"/>
      <c r="Y73" s="115"/>
      <c r="Z73" s="25">
        <v>45672</v>
      </c>
      <c r="AA73" s="13" t="s">
        <v>146</v>
      </c>
      <c r="AF73" s="116"/>
      <c r="AG73" s="123"/>
      <c r="AH73" s="123"/>
      <c r="AI73" s="123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25"/>
      <c r="AY73" s="13"/>
      <c r="BB73" s="114"/>
    </row>
    <row r="74" spans="1:54" ht="20.100000000000001" customHeight="1" x14ac:dyDescent="0.4">
      <c r="A74" s="117"/>
      <c r="B74" s="123"/>
      <c r="C74" s="123"/>
      <c r="D74" s="123"/>
      <c r="N74" s="115" t="s">
        <v>211</v>
      </c>
      <c r="O74" s="13">
        <f>SUBTOTAL(3,O64:O73)</f>
        <v>10</v>
      </c>
      <c r="P74" s="13">
        <f>SUBTOTAL(3,P64:P73)</f>
        <v>10</v>
      </c>
      <c r="T74" s="115"/>
      <c r="U74" s="115"/>
      <c r="V74" s="115"/>
      <c r="W74" s="115"/>
      <c r="X74" s="115"/>
      <c r="Y74" s="115"/>
      <c r="Z74" s="25"/>
      <c r="AA74" s="13"/>
      <c r="AF74" s="116"/>
      <c r="AG74" s="123"/>
      <c r="AH74" s="123"/>
      <c r="AI74" s="123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25"/>
      <c r="AY74" s="13"/>
      <c r="BB74" s="114"/>
    </row>
    <row r="75" spans="1:54" ht="20.100000000000001" customHeight="1" x14ac:dyDescent="0.4">
      <c r="A75" s="117"/>
      <c r="B75" s="123"/>
      <c r="C75" s="123"/>
      <c r="D75" s="123"/>
      <c r="O75" s="25">
        <v>45802</v>
      </c>
      <c r="P75" s="13" t="s">
        <v>148</v>
      </c>
      <c r="T75" s="115"/>
      <c r="U75" s="115"/>
      <c r="V75" s="115"/>
      <c r="W75" s="115"/>
      <c r="X75" s="115"/>
      <c r="Y75" s="115"/>
      <c r="Z75" s="25">
        <v>45672</v>
      </c>
      <c r="AA75" s="13" t="s">
        <v>146</v>
      </c>
      <c r="AF75" s="116"/>
      <c r="AG75" s="123"/>
      <c r="AH75" s="123"/>
      <c r="AI75" s="123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25"/>
      <c r="AY75" s="13"/>
      <c r="BB75" s="114"/>
    </row>
    <row r="76" spans="1:54" ht="20.100000000000001" customHeight="1" x14ac:dyDescent="0.4">
      <c r="A76" s="117"/>
      <c r="B76" s="123"/>
      <c r="C76" s="123"/>
      <c r="D76" s="123"/>
      <c r="O76" s="25">
        <v>45802</v>
      </c>
      <c r="P76" s="13" t="s">
        <v>148</v>
      </c>
      <c r="T76" s="115"/>
      <c r="U76" s="115"/>
      <c r="V76" s="115"/>
      <c r="W76" s="115"/>
      <c r="X76" s="115"/>
      <c r="Y76" s="115"/>
      <c r="Z76" s="25"/>
      <c r="AA76" s="13"/>
      <c r="AF76" s="116"/>
      <c r="AG76" s="123"/>
      <c r="AH76" s="123"/>
      <c r="AI76" s="123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25"/>
      <c r="AY76" s="13"/>
      <c r="BB76" s="114"/>
    </row>
    <row r="77" spans="1:54" ht="20.100000000000001" customHeight="1" x14ac:dyDescent="0.4">
      <c r="A77" s="117"/>
      <c r="B77" s="123"/>
      <c r="C77" s="123"/>
      <c r="D77" s="123"/>
      <c r="O77" s="25">
        <v>45802</v>
      </c>
      <c r="P77" s="13" t="s">
        <v>147</v>
      </c>
      <c r="T77" s="115"/>
      <c r="U77" s="115"/>
      <c r="V77" s="115"/>
      <c r="W77" s="115"/>
      <c r="X77" s="115"/>
      <c r="Y77" s="115"/>
      <c r="Z77" s="25">
        <v>45672</v>
      </c>
      <c r="AA77" s="25" t="s">
        <v>147</v>
      </c>
      <c r="AF77" s="116"/>
      <c r="AG77" s="123"/>
      <c r="AH77" s="123"/>
      <c r="AI77" s="123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25"/>
      <c r="AY77" s="13"/>
      <c r="BB77" s="114"/>
    </row>
    <row r="78" spans="1:54" ht="20.100000000000001" customHeight="1" x14ac:dyDescent="0.4">
      <c r="A78" s="117"/>
      <c r="B78" s="123"/>
      <c r="C78" s="123"/>
      <c r="D78" s="123"/>
      <c r="O78" s="25">
        <v>45802</v>
      </c>
      <c r="P78" s="13" t="s">
        <v>147</v>
      </c>
      <c r="T78" s="115"/>
      <c r="U78" s="115"/>
      <c r="V78" s="115"/>
      <c r="W78" s="115"/>
      <c r="X78" s="115"/>
      <c r="Y78" s="115"/>
      <c r="Z78" s="25"/>
      <c r="AA78" s="25"/>
      <c r="AF78" s="116"/>
      <c r="AG78" s="123"/>
      <c r="AH78" s="123"/>
      <c r="AI78" s="123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25"/>
      <c r="AY78" s="13"/>
      <c r="BB78" s="114"/>
    </row>
    <row r="79" spans="1:54" ht="20.100000000000001" customHeight="1" x14ac:dyDescent="0.4">
      <c r="A79" s="117"/>
      <c r="B79" s="123"/>
      <c r="C79" s="123"/>
      <c r="D79" s="123"/>
      <c r="N79" s="115" t="s">
        <v>212</v>
      </c>
      <c r="O79" s="13">
        <f>SUBTOTAL(3,O75:O78)</f>
        <v>4</v>
      </c>
      <c r="P79" s="13">
        <f>SUBTOTAL(3,P75:P78)</f>
        <v>4</v>
      </c>
      <c r="T79" s="115"/>
      <c r="U79" s="115"/>
      <c r="V79" s="115"/>
      <c r="W79" s="115"/>
      <c r="X79" s="115"/>
      <c r="Y79" s="115"/>
      <c r="Z79" s="25"/>
      <c r="AA79" s="25"/>
      <c r="AF79" s="116"/>
      <c r="AG79" s="123"/>
      <c r="AH79" s="123"/>
      <c r="AI79" s="123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25"/>
      <c r="AY79" s="13"/>
      <c r="BB79" s="114"/>
    </row>
    <row r="80" spans="1:54" ht="20.100000000000001" customHeight="1" x14ac:dyDescent="0.4">
      <c r="A80" s="117"/>
      <c r="B80" s="123"/>
      <c r="C80" s="123"/>
      <c r="D80" s="123"/>
      <c r="O80" s="25">
        <v>45804</v>
      </c>
      <c r="P80" s="13" t="s">
        <v>142</v>
      </c>
      <c r="T80" s="115"/>
      <c r="U80" s="115"/>
      <c r="V80" s="115"/>
      <c r="W80" s="115"/>
      <c r="X80" s="115"/>
      <c r="Y80" s="115"/>
      <c r="Z80" s="25">
        <v>45673</v>
      </c>
      <c r="AA80" s="13" t="s">
        <v>147</v>
      </c>
      <c r="AF80" s="116"/>
      <c r="AG80" s="123"/>
      <c r="AH80" s="123"/>
      <c r="AI80" s="123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25"/>
      <c r="AY80" s="13"/>
      <c r="BB80" s="114"/>
    </row>
    <row r="81" spans="1:54" ht="20.100000000000001" customHeight="1" x14ac:dyDescent="0.4">
      <c r="A81" s="117"/>
      <c r="B81" s="123"/>
      <c r="C81" s="123"/>
      <c r="D81" s="123"/>
      <c r="L81" s="115"/>
      <c r="M81" s="115"/>
      <c r="N81" s="115"/>
      <c r="O81" s="25">
        <v>45804</v>
      </c>
      <c r="P81" s="13" t="s">
        <v>147</v>
      </c>
      <c r="T81" s="115"/>
      <c r="U81" s="115"/>
      <c r="V81" s="115"/>
      <c r="W81" s="115"/>
      <c r="X81" s="115"/>
      <c r="Y81" s="115"/>
      <c r="Z81" s="25"/>
      <c r="AA81" s="13"/>
      <c r="AF81" s="116"/>
      <c r="AG81" s="123"/>
      <c r="AH81" s="123"/>
      <c r="AI81" s="123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25"/>
      <c r="AY81" s="13"/>
      <c r="BB81" s="114"/>
    </row>
    <row r="82" spans="1:54" ht="20.100000000000001" customHeight="1" x14ac:dyDescent="0.4">
      <c r="A82" s="117"/>
      <c r="B82" s="123"/>
      <c r="C82" s="123"/>
      <c r="D82" s="123"/>
      <c r="I82" s="115"/>
      <c r="J82" s="115"/>
      <c r="K82" s="115"/>
      <c r="L82" s="115"/>
      <c r="M82" s="115"/>
      <c r="N82" s="115"/>
      <c r="O82" s="25">
        <v>45804</v>
      </c>
      <c r="P82" s="13" t="s">
        <v>146</v>
      </c>
      <c r="T82" s="115"/>
      <c r="U82" s="115"/>
      <c r="V82" s="115"/>
      <c r="W82" s="115"/>
      <c r="X82" s="115"/>
      <c r="Y82" s="115"/>
      <c r="Z82" s="25"/>
      <c r="AA82" s="13"/>
      <c r="AF82" s="116"/>
      <c r="AG82" s="123"/>
      <c r="AH82" s="123"/>
      <c r="AI82" s="123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25"/>
      <c r="AY82" s="13"/>
      <c r="BB82" s="114"/>
    </row>
    <row r="83" spans="1:54" ht="20.100000000000001" customHeight="1" x14ac:dyDescent="0.4">
      <c r="A83" s="117"/>
      <c r="B83" s="123"/>
      <c r="C83" s="123"/>
      <c r="D83" s="123"/>
      <c r="I83" s="115"/>
      <c r="J83" s="115"/>
      <c r="K83" s="115"/>
      <c r="L83" s="115"/>
      <c r="M83" s="115"/>
      <c r="N83" s="115"/>
      <c r="O83" s="25">
        <v>45804</v>
      </c>
      <c r="P83" s="13" t="s">
        <v>146</v>
      </c>
      <c r="T83" s="115"/>
      <c r="U83" s="115"/>
      <c r="V83" s="115"/>
      <c r="W83" s="115"/>
      <c r="X83" s="115"/>
      <c r="Y83" s="115"/>
      <c r="Z83" s="25"/>
      <c r="AA83" s="13"/>
      <c r="AF83" s="116"/>
      <c r="AG83" s="123"/>
      <c r="AH83" s="123"/>
      <c r="AI83" s="123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25"/>
      <c r="AY83" s="13"/>
      <c r="BB83" s="114"/>
    </row>
    <row r="84" spans="1:54" ht="20.100000000000001" customHeight="1" x14ac:dyDescent="0.4">
      <c r="A84" s="117"/>
      <c r="B84" s="123"/>
      <c r="C84" s="123"/>
      <c r="D84" s="123"/>
      <c r="O84" s="25">
        <v>45804</v>
      </c>
      <c r="P84" s="13" t="s">
        <v>147</v>
      </c>
      <c r="T84" s="115"/>
      <c r="U84" s="115"/>
      <c r="V84" s="115"/>
      <c r="W84" s="115"/>
      <c r="X84" s="115"/>
      <c r="Y84" s="115"/>
      <c r="Z84" s="25">
        <v>45673</v>
      </c>
      <c r="AA84" s="13" t="s">
        <v>147</v>
      </c>
      <c r="AF84" s="116"/>
      <c r="AG84" s="123"/>
      <c r="AH84" s="123"/>
      <c r="AI84" s="123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  <c r="AX84" s="25"/>
      <c r="AY84" s="13"/>
      <c r="BB84" s="114"/>
    </row>
    <row r="85" spans="1:54" ht="20.100000000000001" customHeight="1" x14ac:dyDescent="0.4">
      <c r="A85" s="117"/>
      <c r="B85" s="123"/>
      <c r="C85" s="123"/>
      <c r="D85" s="123"/>
      <c r="G85" s="115"/>
      <c r="H85" s="115"/>
      <c r="I85" s="115"/>
      <c r="J85" s="115"/>
      <c r="K85" s="115"/>
      <c r="L85" s="115"/>
      <c r="M85" s="115"/>
      <c r="N85" s="115"/>
      <c r="O85" s="25">
        <v>45804</v>
      </c>
      <c r="P85" s="13" t="s">
        <v>146</v>
      </c>
      <c r="T85" s="115"/>
      <c r="U85" s="115"/>
      <c r="V85" s="115"/>
      <c r="W85" s="115"/>
      <c r="X85" s="115"/>
      <c r="Y85" s="115"/>
      <c r="Z85" s="25"/>
      <c r="AA85" s="13"/>
      <c r="AF85" s="116"/>
      <c r="AG85" s="123"/>
      <c r="AH85" s="123"/>
      <c r="AI85" s="123"/>
      <c r="AN85" s="115"/>
      <c r="AO85" s="115"/>
      <c r="AP85" s="115"/>
      <c r="AQ85" s="115"/>
      <c r="AR85" s="115"/>
      <c r="AS85" s="115"/>
      <c r="AT85" s="115"/>
      <c r="AU85" s="115"/>
      <c r="AV85" s="115"/>
      <c r="AW85" s="115"/>
      <c r="AX85" s="25"/>
      <c r="AY85" s="13"/>
      <c r="BB85" s="114"/>
    </row>
    <row r="86" spans="1:54" ht="20.100000000000001" customHeight="1" x14ac:dyDescent="0.4">
      <c r="A86" s="117"/>
      <c r="B86" s="123"/>
      <c r="C86" s="123"/>
      <c r="D86" s="123"/>
      <c r="G86" s="115"/>
      <c r="H86" s="115"/>
      <c r="I86" s="115"/>
      <c r="J86" s="115"/>
      <c r="K86" s="115"/>
      <c r="L86" s="115"/>
      <c r="M86" s="115"/>
      <c r="N86" s="115"/>
      <c r="O86" s="25">
        <v>45804</v>
      </c>
      <c r="P86" s="13" t="s">
        <v>147</v>
      </c>
      <c r="T86" s="115"/>
      <c r="U86" s="115"/>
      <c r="V86" s="115"/>
      <c r="W86" s="115"/>
      <c r="X86" s="115"/>
      <c r="Y86" s="115"/>
      <c r="Z86" s="25"/>
      <c r="AA86" s="13"/>
      <c r="AF86" s="116"/>
      <c r="AG86" s="123"/>
      <c r="AH86" s="123"/>
      <c r="AI86" s="123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25"/>
      <c r="AY86" s="13"/>
      <c r="BB86" s="114"/>
    </row>
    <row r="87" spans="1:54" ht="20.100000000000001" customHeight="1" x14ac:dyDescent="0.4">
      <c r="A87" s="117"/>
      <c r="B87" s="123"/>
      <c r="C87" s="123"/>
      <c r="D87" s="123"/>
      <c r="G87" s="115"/>
      <c r="H87" s="115"/>
      <c r="I87" s="115"/>
      <c r="J87" s="115"/>
      <c r="K87" s="115"/>
      <c r="L87" s="115"/>
      <c r="M87" s="115"/>
      <c r="N87" s="115"/>
      <c r="O87" s="25">
        <v>45804</v>
      </c>
      <c r="P87" s="13" t="s">
        <v>147</v>
      </c>
      <c r="T87" s="115"/>
      <c r="U87" s="115"/>
      <c r="V87" s="115"/>
      <c r="W87" s="115"/>
      <c r="X87" s="115"/>
      <c r="Y87" s="115"/>
      <c r="Z87" s="25"/>
      <c r="AA87" s="13"/>
      <c r="AF87" s="116"/>
      <c r="AG87" s="123"/>
      <c r="AH87" s="123"/>
      <c r="AI87" s="123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  <c r="AX87" s="25"/>
      <c r="AY87" s="13"/>
      <c r="BB87" s="114"/>
    </row>
    <row r="88" spans="1:54" ht="20.100000000000001" customHeight="1" x14ac:dyDescent="0.4">
      <c r="A88" s="117"/>
      <c r="B88" s="123"/>
      <c r="C88" s="123"/>
      <c r="D88" s="123"/>
      <c r="G88" s="115"/>
      <c r="H88" s="115"/>
      <c r="I88" s="115"/>
      <c r="J88" s="115"/>
      <c r="K88" s="115"/>
      <c r="L88" s="115"/>
      <c r="M88" s="115"/>
      <c r="N88" s="115"/>
      <c r="O88" s="26">
        <v>45804</v>
      </c>
      <c r="P88" s="25" t="s">
        <v>146</v>
      </c>
      <c r="T88" s="115"/>
      <c r="U88" s="115"/>
      <c r="V88" s="115"/>
      <c r="W88" s="115"/>
      <c r="X88" s="115"/>
      <c r="Y88" s="115"/>
      <c r="Z88" s="25"/>
      <c r="AA88" s="13"/>
      <c r="AF88" s="116"/>
      <c r="AG88" s="123"/>
      <c r="AH88" s="123"/>
      <c r="AI88" s="123"/>
      <c r="AN88" s="115"/>
      <c r="AO88" s="115"/>
      <c r="AP88" s="115"/>
      <c r="AQ88" s="115"/>
      <c r="AR88" s="115"/>
      <c r="AS88" s="115"/>
      <c r="AT88" s="115"/>
      <c r="AU88" s="115"/>
      <c r="AV88" s="115"/>
      <c r="AW88" s="115"/>
      <c r="AX88" s="25"/>
      <c r="AY88" s="13"/>
      <c r="BB88" s="114"/>
    </row>
    <row r="89" spans="1:54" ht="20.100000000000001" customHeight="1" x14ac:dyDescent="0.4">
      <c r="A89" s="117"/>
      <c r="B89" s="123"/>
      <c r="C89" s="123"/>
      <c r="D89" s="123"/>
      <c r="G89" s="115"/>
      <c r="H89" s="115"/>
      <c r="I89" s="115"/>
      <c r="J89" s="115"/>
      <c r="K89" s="115"/>
      <c r="L89" s="115"/>
      <c r="M89" s="115"/>
      <c r="N89" s="115"/>
      <c r="O89" s="26">
        <v>45804</v>
      </c>
      <c r="P89" s="25" t="s">
        <v>148</v>
      </c>
      <c r="T89" s="115"/>
      <c r="U89" s="115"/>
      <c r="V89" s="115"/>
      <c r="W89" s="115"/>
      <c r="X89" s="115"/>
      <c r="Y89" s="115"/>
      <c r="Z89" s="25"/>
      <c r="AA89" s="13"/>
      <c r="AF89" s="116"/>
      <c r="AG89" s="123"/>
      <c r="AH89" s="123"/>
      <c r="AI89" s="123"/>
      <c r="AN89" s="115"/>
      <c r="AO89" s="115"/>
      <c r="AP89" s="115"/>
      <c r="AQ89" s="115"/>
      <c r="AR89" s="115"/>
      <c r="AS89" s="115"/>
      <c r="AT89" s="115"/>
      <c r="AU89" s="115"/>
      <c r="AV89" s="115"/>
      <c r="AW89" s="115"/>
      <c r="AX89" s="25"/>
      <c r="AY89" s="13"/>
      <c r="BB89" s="114"/>
    </row>
    <row r="90" spans="1:54" ht="20.100000000000001" customHeight="1" x14ac:dyDescent="0.4">
      <c r="A90" s="117"/>
      <c r="B90" s="123"/>
      <c r="C90" s="123"/>
      <c r="D90" s="123"/>
      <c r="G90" s="115"/>
      <c r="H90" s="115"/>
      <c r="I90" s="115"/>
      <c r="J90" s="115"/>
      <c r="K90" s="115"/>
      <c r="L90" s="115"/>
      <c r="M90" s="115"/>
      <c r="N90" s="115"/>
      <c r="O90" s="26">
        <v>45804</v>
      </c>
      <c r="P90" s="13" t="s">
        <v>146</v>
      </c>
      <c r="T90" s="115"/>
      <c r="U90" s="115"/>
      <c r="V90" s="115"/>
      <c r="W90" s="115"/>
      <c r="X90" s="115"/>
      <c r="Y90" s="115"/>
      <c r="Z90" s="25"/>
      <c r="AA90" s="13"/>
      <c r="AF90" s="116"/>
      <c r="AG90" s="123"/>
      <c r="AH90" s="123"/>
      <c r="AI90" s="123"/>
      <c r="AN90" s="115"/>
      <c r="AO90" s="115"/>
      <c r="AP90" s="115"/>
      <c r="AQ90" s="115"/>
      <c r="AR90" s="115"/>
      <c r="AS90" s="115"/>
      <c r="AT90" s="115"/>
      <c r="AU90" s="115"/>
      <c r="AV90" s="115"/>
      <c r="AW90" s="115"/>
      <c r="AX90" s="25"/>
      <c r="AY90" s="13"/>
      <c r="BB90" s="114"/>
    </row>
    <row r="91" spans="1:54" ht="20.100000000000001" customHeight="1" x14ac:dyDescent="0.4">
      <c r="A91" s="117"/>
      <c r="B91" s="123"/>
      <c r="C91" s="123"/>
      <c r="D91" s="123"/>
      <c r="G91" s="115"/>
      <c r="H91" s="115"/>
      <c r="I91" s="115"/>
      <c r="J91" s="115"/>
      <c r="K91" s="115"/>
      <c r="L91" s="115"/>
      <c r="M91" s="115"/>
      <c r="N91" s="115"/>
      <c r="O91" s="26">
        <v>45804</v>
      </c>
      <c r="P91" s="13" t="s">
        <v>148</v>
      </c>
      <c r="T91" s="115"/>
      <c r="U91" s="115"/>
      <c r="V91" s="115"/>
      <c r="W91" s="115"/>
      <c r="X91" s="115"/>
      <c r="Y91" s="115"/>
      <c r="Z91" s="25"/>
      <c r="AA91" s="13"/>
      <c r="AF91" s="116"/>
      <c r="AG91" s="123"/>
      <c r="AH91" s="123"/>
      <c r="AI91" s="123"/>
      <c r="AN91" s="115"/>
      <c r="AO91" s="115"/>
      <c r="AP91" s="115"/>
      <c r="AQ91" s="115"/>
      <c r="AR91" s="115"/>
      <c r="AS91" s="115"/>
      <c r="AT91" s="115"/>
      <c r="AU91" s="115"/>
      <c r="AV91" s="115"/>
      <c r="AW91" s="115"/>
      <c r="AX91" s="25"/>
      <c r="AY91" s="13"/>
      <c r="BB91" s="114"/>
    </row>
    <row r="92" spans="1:54" ht="20.100000000000001" customHeight="1" x14ac:dyDescent="0.4">
      <c r="A92" s="117"/>
      <c r="B92" s="123"/>
      <c r="C92" s="123"/>
      <c r="D92" s="123"/>
      <c r="G92" s="115"/>
      <c r="H92" s="115"/>
      <c r="I92" s="115"/>
      <c r="J92" s="115"/>
      <c r="K92" s="115"/>
      <c r="L92" s="115"/>
      <c r="M92" s="115"/>
      <c r="N92" s="115"/>
      <c r="O92" s="25">
        <v>45804</v>
      </c>
      <c r="P92" s="13" t="s">
        <v>146</v>
      </c>
      <c r="T92" s="115"/>
      <c r="U92" s="115"/>
      <c r="V92" s="115"/>
      <c r="W92" s="115"/>
      <c r="X92" s="115"/>
      <c r="Y92" s="115"/>
      <c r="Z92" s="25"/>
      <c r="AA92" s="13"/>
      <c r="AF92" s="116"/>
      <c r="AG92" s="123"/>
      <c r="AH92" s="123"/>
      <c r="AI92" s="123"/>
      <c r="AN92" s="115"/>
      <c r="AO92" s="115"/>
      <c r="AP92" s="115"/>
      <c r="AQ92" s="115"/>
      <c r="AR92" s="115"/>
      <c r="AS92" s="115"/>
      <c r="AT92" s="115"/>
      <c r="AU92" s="115"/>
      <c r="AV92" s="115"/>
      <c r="AW92" s="115"/>
      <c r="AX92" s="25"/>
      <c r="AY92" s="13"/>
      <c r="BB92" s="114"/>
    </row>
    <row r="93" spans="1:54" ht="20.100000000000001" customHeight="1" x14ac:dyDescent="0.4">
      <c r="A93" s="117"/>
      <c r="B93" s="123"/>
      <c r="C93" s="123"/>
      <c r="D93" s="123"/>
      <c r="O93" s="25">
        <v>45804</v>
      </c>
      <c r="P93" s="13" t="s">
        <v>148</v>
      </c>
      <c r="R93" s="115"/>
      <c r="S93" s="115"/>
      <c r="T93" s="115"/>
      <c r="U93" s="115"/>
      <c r="V93" s="115"/>
      <c r="W93" s="115"/>
      <c r="X93" s="115"/>
      <c r="Y93" s="115"/>
      <c r="Z93" s="25">
        <v>45673</v>
      </c>
      <c r="AA93" s="13" t="s">
        <v>148</v>
      </c>
      <c r="AF93" s="116"/>
      <c r="AG93" s="123"/>
      <c r="AH93" s="123"/>
      <c r="AI93" s="123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25"/>
      <c r="AY93" s="13"/>
      <c r="BB93" s="114"/>
    </row>
    <row r="94" spans="1:54" ht="20.100000000000001" customHeight="1" x14ac:dyDescent="0.4">
      <c r="A94" s="117"/>
      <c r="B94" s="123"/>
      <c r="C94" s="123"/>
      <c r="D94" s="123"/>
      <c r="K94" s="115"/>
      <c r="L94" s="115"/>
      <c r="M94" s="115"/>
      <c r="N94" s="115"/>
      <c r="O94" s="25">
        <v>45804</v>
      </c>
      <c r="P94" s="13" t="s">
        <v>146</v>
      </c>
      <c r="R94" s="115"/>
      <c r="S94" s="115"/>
      <c r="T94" s="115"/>
      <c r="U94" s="115"/>
      <c r="V94" s="115"/>
      <c r="W94" s="115"/>
      <c r="X94" s="115"/>
      <c r="Y94" s="115"/>
      <c r="Z94" s="25"/>
      <c r="AA94" s="13"/>
      <c r="AF94" s="116"/>
      <c r="AG94" s="123"/>
      <c r="AH94" s="123"/>
      <c r="AI94" s="123"/>
      <c r="AN94" s="115"/>
      <c r="AO94" s="115"/>
      <c r="AP94" s="115"/>
      <c r="AQ94" s="115"/>
      <c r="AR94" s="115"/>
      <c r="AS94" s="115"/>
      <c r="AT94" s="115"/>
      <c r="AU94" s="115"/>
      <c r="AV94" s="115"/>
      <c r="AW94" s="115"/>
      <c r="AX94" s="25"/>
      <c r="AY94" s="13"/>
      <c r="BB94" s="114"/>
    </row>
    <row r="95" spans="1:54" ht="20.100000000000001" customHeight="1" x14ac:dyDescent="0.4">
      <c r="A95" s="117"/>
      <c r="B95" s="123"/>
      <c r="C95" s="123"/>
      <c r="D95" s="123"/>
      <c r="I95" s="115"/>
      <c r="J95" s="115"/>
      <c r="K95" s="115"/>
      <c r="L95" s="115"/>
      <c r="M95" s="115"/>
      <c r="N95" s="115"/>
      <c r="O95" s="25">
        <v>45804</v>
      </c>
      <c r="P95" s="13" t="s">
        <v>148</v>
      </c>
      <c r="R95" s="115"/>
      <c r="S95" s="115"/>
      <c r="T95" s="115"/>
      <c r="U95" s="115"/>
      <c r="V95" s="115"/>
      <c r="W95" s="115"/>
      <c r="X95" s="115"/>
      <c r="Y95" s="115"/>
      <c r="Z95" s="25"/>
      <c r="AA95" s="13"/>
      <c r="AF95" s="116"/>
      <c r="AG95" s="123"/>
      <c r="AH95" s="123"/>
      <c r="AI95" s="123"/>
      <c r="AN95" s="115"/>
      <c r="AO95" s="115"/>
      <c r="AP95" s="115"/>
      <c r="AQ95" s="115"/>
      <c r="AR95" s="115"/>
      <c r="AS95" s="115"/>
      <c r="AT95" s="115"/>
      <c r="AU95" s="115"/>
      <c r="AV95" s="115"/>
      <c r="AW95" s="115"/>
      <c r="AX95" s="25"/>
      <c r="AY95" s="13"/>
      <c r="BB95" s="114"/>
    </row>
    <row r="96" spans="1:54" ht="20.100000000000001" customHeight="1" x14ac:dyDescent="0.4">
      <c r="A96" s="117"/>
      <c r="B96" s="123"/>
      <c r="C96" s="123"/>
      <c r="D96" s="123"/>
      <c r="I96" s="115"/>
      <c r="J96" s="115"/>
      <c r="K96" s="115"/>
      <c r="L96" s="115"/>
      <c r="M96" s="115"/>
      <c r="N96" s="115"/>
      <c r="O96" s="25">
        <v>45804</v>
      </c>
      <c r="P96" s="13" t="s">
        <v>146</v>
      </c>
      <c r="R96" s="115"/>
      <c r="S96" s="115"/>
      <c r="T96" s="115"/>
      <c r="U96" s="115"/>
      <c r="V96" s="115"/>
      <c r="W96" s="115"/>
      <c r="X96" s="115"/>
      <c r="Y96" s="115"/>
      <c r="Z96" s="25"/>
      <c r="AA96" s="13"/>
      <c r="AF96" s="116"/>
      <c r="AG96" s="123"/>
      <c r="AH96" s="123"/>
      <c r="AI96" s="123"/>
      <c r="AN96" s="115"/>
      <c r="AO96" s="115"/>
      <c r="AP96" s="115"/>
      <c r="AQ96" s="115"/>
      <c r="AR96" s="115"/>
      <c r="AS96" s="115"/>
      <c r="AT96" s="115"/>
      <c r="AU96" s="115"/>
      <c r="AV96" s="115"/>
      <c r="AW96" s="115"/>
      <c r="AX96" s="25"/>
      <c r="AY96" s="13"/>
      <c r="BB96" s="114"/>
    </row>
    <row r="97" spans="1:54" ht="20.100000000000001" customHeight="1" x14ac:dyDescent="0.4">
      <c r="A97" s="117"/>
      <c r="B97" s="123"/>
      <c r="C97" s="123"/>
      <c r="D97" s="123"/>
      <c r="I97" s="115"/>
      <c r="J97" s="115"/>
      <c r="K97" s="115"/>
      <c r="L97" s="115"/>
      <c r="M97" s="115"/>
      <c r="N97" s="115"/>
      <c r="O97" s="25">
        <v>45804</v>
      </c>
      <c r="P97" s="13" t="s">
        <v>146</v>
      </c>
      <c r="R97" s="115"/>
      <c r="S97" s="115"/>
      <c r="T97" s="115"/>
      <c r="U97" s="115"/>
      <c r="V97" s="115"/>
      <c r="W97" s="115"/>
      <c r="X97" s="115"/>
      <c r="Y97" s="115"/>
      <c r="Z97" s="25"/>
      <c r="AA97" s="13"/>
      <c r="AF97" s="116"/>
      <c r="AG97" s="123"/>
      <c r="AH97" s="123"/>
      <c r="AI97" s="123"/>
      <c r="AN97" s="115"/>
      <c r="AO97" s="115"/>
      <c r="AP97" s="115"/>
      <c r="AQ97" s="115"/>
      <c r="AR97" s="115"/>
      <c r="AS97" s="115"/>
      <c r="AT97" s="115"/>
      <c r="AU97" s="115"/>
      <c r="AV97" s="115"/>
      <c r="AW97" s="115"/>
      <c r="AX97" s="25"/>
      <c r="AY97" s="13"/>
      <c r="BB97" s="114"/>
    </row>
    <row r="98" spans="1:54" ht="20.100000000000001" customHeight="1" x14ac:dyDescent="0.4">
      <c r="A98" s="117"/>
      <c r="B98" s="123"/>
      <c r="C98" s="123"/>
      <c r="D98" s="123"/>
      <c r="G98" s="115"/>
      <c r="H98" s="115"/>
      <c r="I98" s="115"/>
      <c r="J98" s="115"/>
      <c r="K98" s="115"/>
      <c r="L98" s="115"/>
      <c r="M98" s="115"/>
      <c r="N98" s="115"/>
      <c r="O98" s="25">
        <v>45804</v>
      </c>
      <c r="P98" s="13" t="s">
        <v>147</v>
      </c>
      <c r="R98" s="115"/>
      <c r="S98" s="115"/>
      <c r="T98" s="115"/>
      <c r="U98" s="115"/>
      <c r="V98" s="115"/>
      <c r="W98" s="115"/>
      <c r="X98" s="115"/>
      <c r="Y98" s="115"/>
      <c r="Z98" s="25"/>
      <c r="AA98" s="13"/>
      <c r="AF98" s="116"/>
      <c r="AG98" s="123"/>
      <c r="AH98" s="123"/>
      <c r="AI98" s="123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25"/>
      <c r="AY98" s="13"/>
      <c r="BB98" s="114"/>
    </row>
    <row r="99" spans="1:54" ht="20.100000000000001" customHeight="1" x14ac:dyDescent="0.4">
      <c r="A99" s="117"/>
      <c r="B99" s="123"/>
      <c r="C99" s="123"/>
      <c r="D99" s="123"/>
      <c r="G99" s="115"/>
      <c r="H99" s="115"/>
      <c r="I99" s="115"/>
      <c r="J99" s="115"/>
      <c r="K99" s="115"/>
      <c r="L99" s="115"/>
      <c r="M99" s="115"/>
      <c r="N99" s="115"/>
      <c r="O99" s="25">
        <v>45804</v>
      </c>
      <c r="P99" s="13" t="s">
        <v>147</v>
      </c>
      <c r="R99" s="115"/>
      <c r="S99" s="115"/>
      <c r="T99" s="115"/>
      <c r="U99" s="115"/>
      <c r="V99" s="115"/>
      <c r="W99" s="115"/>
      <c r="X99" s="115"/>
      <c r="Y99" s="115"/>
      <c r="Z99" s="25"/>
      <c r="AA99" s="13"/>
      <c r="AF99" s="116"/>
      <c r="AG99" s="123"/>
      <c r="AH99" s="123"/>
      <c r="AI99" s="123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  <c r="AX99" s="25"/>
      <c r="AY99" s="13"/>
      <c r="BB99" s="114"/>
    </row>
    <row r="100" spans="1:54" ht="20.100000000000001" customHeight="1" x14ac:dyDescent="0.4">
      <c r="A100" s="117"/>
      <c r="B100" s="123"/>
      <c r="C100" s="123"/>
      <c r="D100" s="123"/>
      <c r="O100" s="25">
        <v>45804</v>
      </c>
      <c r="P100" s="13" t="s">
        <v>146</v>
      </c>
      <c r="R100" s="115"/>
      <c r="S100" s="115"/>
      <c r="T100" s="115"/>
      <c r="U100" s="115"/>
      <c r="V100" s="115"/>
      <c r="W100" s="115"/>
      <c r="X100" s="115"/>
      <c r="Y100" s="115"/>
      <c r="Z100" s="25">
        <v>45673</v>
      </c>
      <c r="AA100" s="13" t="s">
        <v>147</v>
      </c>
      <c r="AF100" s="116"/>
      <c r="AG100" s="123"/>
      <c r="AH100" s="123"/>
      <c r="AI100" s="123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115"/>
      <c r="AX100" s="25"/>
      <c r="AY100" s="13"/>
      <c r="BB100" s="114"/>
    </row>
    <row r="101" spans="1:54" ht="20.100000000000001" customHeight="1" x14ac:dyDescent="0.4">
      <c r="A101" s="117"/>
      <c r="B101" s="123"/>
      <c r="C101" s="123"/>
      <c r="D101" s="123"/>
      <c r="O101" s="25">
        <v>45804</v>
      </c>
      <c r="P101" s="13" t="s">
        <v>146</v>
      </c>
      <c r="R101" s="115"/>
      <c r="S101" s="115"/>
      <c r="T101" s="115"/>
      <c r="U101" s="115"/>
      <c r="V101" s="115"/>
      <c r="W101" s="115"/>
      <c r="X101" s="115"/>
      <c r="Y101" s="115"/>
      <c r="Z101" s="25"/>
      <c r="AA101" s="13"/>
      <c r="AF101" s="116"/>
      <c r="AG101" s="123"/>
      <c r="AH101" s="123"/>
      <c r="AI101" s="123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25"/>
      <c r="AY101" s="13"/>
      <c r="BB101" s="114"/>
    </row>
    <row r="102" spans="1:54" ht="20.100000000000001" customHeight="1" x14ac:dyDescent="0.4">
      <c r="A102" s="117"/>
      <c r="B102" s="123"/>
      <c r="C102" s="123"/>
      <c r="D102" s="123"/>
      <c r="K102" s="115"/>
      <c r="L102" s="115"/>
      <c r="M102" s="115"/>
      <c r="N102" s="115"/>
      <c r="O102" s="25">
        <v>45804</v>
      </c>
      <c r="P102" s="13" t="s">
        <v>146</v>
      </c>
      <c r="R102" s="115"/>
      <c r="S102" s="115"/>
      <c r="T102" s="115"/>
      <c r="U102" s="115"/>
      <c r="V102" s="115"/>
      <c r="W102" s="115"/>
      <c r="X102" s="115"/>
      <c r="Y102" s="115"/>
      <c r="Z102" s="25"/>
      <c r="AA102" s="13"/>
      <c r="AF102" s="116"/>
      <c r="AG102" s="123"/>
      <c r="AH102" s="123"/>
      <c r="AI102" s="123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25"/>
      <c r="AY102" s="13"/>
      <c r="BB102" s="114"/>
    </row>
    <row r="103" spans="1:54" ht="20.100000000000001" customHeight="1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115"/>
      <c r="O103" s="25">
        <v>45804</v>
      </c>
      <c r="P103" s="13" t="s">
        <v>148</v>
      </c>
      <c r="R103" s="115"/>
      <c r="S103" s="115"/>
      <c r="T103" s="115"/>
      <c r="U103" s="115"/>
      <c r="V103" s="115"/>
      <c r="W103" s="115"/>
      <c r="X103" s="115"/>
      <c r="Y103" s="115"/>
      <c r="Z103" s="25"/>
      <c r="AA103" s="13"/>
      <c r="AF103" s="116"/>
      <c r="AG103" s="123"/>
      <c r="AH103" s="123"/>
      <c r="AI103" s="123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25"/>
      <c r="AY103" s="13"/>
      <c r="BB103" s="114"/>
    </row>
    <row r="104" spans="1:54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115" t="s">
        <v>213</v>
      </c>
      <c r="O104" s="13">
        <f>SUBTOTAL(3,O80:O103)</f>
        <v>24</v>
      </c>
      <c r="P104" s="13">
        <f>SUBTOTAL(3,P80:P103)</f>
        <v>24</v>
      </c>
      <c r="R104" s="115"/>
      <c r="S104" s="115"/>
      <c r="T104" s="115"/>
      <c r="U104" s="115"/>
      <c r="V104" s="115"/>
      <c r="W104" s="115"/>
      <c r="X104" s="115"/>
      <c r="Y104" s="115"/>
      <c r="Z104" s="25"/>
      <c r="AA104" s="13"/>
      <c r="AF104" s="116"/>
      <c r="AG104" s="123"/>
      <c r="AH104" s="123"/>
      <c r="AI104" s="123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115"/>
      <c r="AX104" s="25"/>
      <c r="AY104" s="13"/>
      <c r="BB104" s="114"/>
    </row>
    <row r="105" spans="1:54" ht="20.100000000000001" customHeight="1" x14ac:dyDescent="0.4">
      <c r="A105" s="117"/>
      <c r="B105" s="123"/>
      <c r="C105" s="123"/>
      <c r="D105" s="123"/>
      <c r="G105" s="115"/>
      <c r="H105" s="115"/>
      <c r="I105" s="115"/>
      <c r="J105" s="115"/>
      <c r="K105" s="115"/>
      <c r="L105" s="115"/>
      <c r="M105" s="115"/>
      <c r="N105" s="115"/>
      <c r="O105" s="25">
        <v>45805</v>
      </c>
      <c r="P105" s="13" t="s">
        <v>146</v>
      </c>
      <c r="R105" s="115"/>
      <c r="S105" s="115"/>
      <c r="T105" s="115"/>
      <c r="U105" s="115"/>
      <c r="V105" s="115"/>
      <c r="W105" s="115"/>
      <c r="X105" s="115"/>
      <c r="Y105" s="115"/>
      <c r="Z105" s="25"/>
      <c r="AA105" s="13"/>
      <c r="AF105" s="116"/>
      <c r="AG105" s="123"/>
      <c r="AH105" s="123"/>
      <c r="AI105" s="123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25"/>
      <c r="AY105" s="13"/>
      <c r="BB105" s="114"/>
    </row>
    <row r="106" spans="1:54" ht="20.100000000000001" customHeight="1" x14ac:dyDescent="0.4">
      <c r="A106" s="117"/>
      <c r="B106" s="123"/>
      <c r="C106" s="123"/>
      <c r="D106" s="123"/>
      <c r="G106" s="115"/>
      <c r="H106" s="115"/>
      <c r="I106" s="115"/>
      <c r="J106" s="115"/>
      <c r="K106" s="115"/>
      <c r="L106" s="115"/>
      <c r="M106" s="115"/>
      <c r="N106" s="115"/>
      <c r="O106" s="25">
        <v>45805</v>
      </c>
      <c r="P106" s="13" t="s">
        <v>146</v>
      </c>
      <c r="R106" s="115"/>
      <c r="S106" s="115"/>
      <c r="T106" s="115"/>
      <c r="U106" s="115"/>
      <c r="V106" s="115"/>
      <c r="W106" s="115"/>
      <c r="X106" s="115"/>
      <c r="Y106" s="115"/>
      <c r="Z106" s="25"/>
      <c r="AA106" s="13"/>
      <c r="AF106" s="116"/>
      <c r="AG106" s="123"/>
      <c r="AH106" s="123"/>
      <c r="AI106" s="123"/>
      <c r="AN106" s="115"/>
      <c r="AO106" s="115"/>
      <c r="AP106" s="115"/>
      <c r="AQ106" s="115"/>
      <c r="AR106" s="115"/>
      <c r="AS106" s="115"/>
      <c r="AT106" s="115"/>
      <c r="AU106" s="115"/>
      <c r="AV106" s="115"/>
      <c r="AW106" s="115"/>
      <c r="AX106" s="25"/>
      <c r="AY106" s="13"/>
      <c r="BB106" s="114"/>
    </row>
    <row r="107" spans="1:54" ht="20.100000000000001" customHeight="1" x14ac:dyDescent="0.4">
      <c r="A107" s="117"/>
      <c r="B107" s="123"/>
      <c r="C107" s="123"/>
      <c r="D107" s="123"/>
      <c r="G107" s="115"/>
      <c r="H107" s="115"/>
      <c r="I107" s="115"/>
      <c r="J107" s="115"/>
      <c r="K107" s="115"/>
      <c r="L107" s="115"/>
      <c r="M107" s="115"/>
      <c r="N107" s="115"/>
      <c r="O107" s="25">
        <v>45805</v>
      </c>
      <c r="P107" s="15" t="s">
        <v>147</v>
      </c>
      <c r="R107" s="115"/>
      <c r="S107" s="115"/>
      <c r="T107" s="115"/>
      <c r="U107" s="115"/>
      <c r="V107" s="115"/>
      <c r="W107" s="115"/>
      <c r="X107" s="115"/>
      <c r="Y107" s="115"/>
      <c r="Z107" s="25"/>
      <c r="AA107" s="13"/>
      <c r="AF107" s="116"/>
      <c r="AG107" s="123"/>
      <c r="AH107" s="123"/>
      <c r="AI107" s="123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25"/>
      <c r="AY107" s="13"/>
      <c r="BB107" s="114"/>
    </row>
    <row r="108" spans="1:54" ht="20.100000000000001" customHeight="1" x14ac:dyDescent="0.4">
      <c r="A108" s="117"/>
      <c r="B108" s="123"/>
      <c r="C108" s="123"/>
      <c r="D108" s="123"/>
      <c r="G108" s="115"/>
      <c r="H108" s="115"/>
      <c r="I108" s="115"/>
      <c r="J108" s="115"/>
      <c r="K108" s="115"/>
      <c r="L108" s="115"/>
      <c r="M108" s="115"/>
      <c r="N108" s="115"/>
      <c r="O108" s="25">
        <v>45805</v>
      </c>
      <c r="P108" s="15" t="s">
        <v>148</v>
      </c>
      <c r="R108" s="115"/>
      <c r="S108" s="115"/>
      <c r="T108" s="115"/>
      <c r="U108" s="115"/>
      <c r="V108" s="115"/>
      <c r="W108" s="115"/>
      <c r="X108" s="115"/>
      <c r="Y108" s="115"/>
      <c r="Z108" s="25"/>
      <c r="AA108" s="13"/>
      <c r="AF108" s="116"/>
      <c r="AG108" s="123"/>
      <c r="AH108" s="123"/>
      <c r="AI108" s="123"/>
      <c r="AN108" s="115"/>
      <c r="AO108" s="115"/>
      <c r="AP108" s="115"/>
      <c r="AQ108" s="115"/>
      <c r="AR108" s="115"/>
      <c r="AS108" s="115"/>
      <c r="AT108" s="115"/>
      <c r="AU108" s="115"/>
      <c r="AV108" s="115"/>
      <c r="AW108" s="115"/>
      <c r="AX108" s="25"/>
      <c r="AY108" s="13"/>
      <c r="BB108" s="114"/>
    </row>
    <row r="109" spans="1:54" ht="20.100000000000001" customHeight="1" x14ac:dyDescent="0.4">
      <c r="A109" s="117"/>
      <c r="B109" s="123"/>
      <c r="C109" s="123"/>
      <c r="D109" s="123"/>
      <c r="O109" s="25">
        <v>45805</v>
      </c>
      <c r="P109" s="15" t="s">
        <v>148</v>
      </c>
      <c r="R109" s="115"/>
      <c r="S109" s="115"/>
      <c r="T109" s="115"/>
      <c r="U109" s="115"/>
      <c r="V109" s="115"/>
      <c r="W109" s="115"/>
      <c r="X109" s="115"/>
      <c r="Y109" s="115"/>
      <c r="Z109" s="25">
        <v>45673</v>
      </c>
      <c r="AA109" s="13" t="s">
        <v>147</v>
      </c>
      <c r="AF109" s="116"/>
      <c r="AG109" s="123"/>
      <c r="AH109" s="123"/>
      <c r="AI109" s="123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25"/>
      <c r="AY109" s="13"/>
      <c r="BB109" s="114"/>
    </row>
    <row r="110" spans="1:54" ht="20.100000000000001" customHeight="1" x14ac:dyDescent="0.4">
      <c r="A110" s="117"/>
      <c r="B110" s="123"/>
      <c r="C110" s="123"/>
      <c r="D110" s="123"/>
      <c r="O110" s="25">
        <v>45805</v>
      </c>
      <c r="P110" s="25" t="s">
        <v>146</v>
      </c>
      <c r="R110" s="115"/>
      <c r="S110" s="115"/>
      <c r="T110" s="115"/>
      <c r="U110" s="115"/>
      <c r="V110" s="115"/>
      <c r="W110" s="115"/>
      <c r="X110" s="115"/>
      <c r="Y110" s="115"/>
      <c r="Z110" s="25">
        <v>45673</v>
      </c>
      <c r="AA110" s="13" t="s">
        <v>147</v>
      </c>
      <c r="AF110" s="116"/>
      <c r="AG110" s="123"/>
      <c r="AH110" s="123"/>
      <c r="AI110" s="123"/>
      <c r="AN110" s="115"/>
      <c r="AO110" s="115"/>
      <c r="AP110" s="115"/>
      <c r="AQ110" s="115"/>
      <c r="AR110" s="115"/>
      <c r="AS110" s="115"/>
      <c r="AT110" s="115"/>
      <c r="AU110" s="115"/>
      <c r="AV110" s="115"/>
      <c r="AW110" s="115"/>
      <c r="AX110" s="25"/>
      <c r="AY110" s="13"/>
      <c r="BB110" s="114"/>
    </row>
    <row r="111" spans="1:54" ht="20.100000000000001" customHeight="1" x14ac:dyDescent="0.4">
      <c r="A111" s="117"/>
      <c r="B111" s="123"/>
      <c r="C111" s="123"/>
      <c r="D111" s="123"/>
      <c r="O111" s="25">
        <v>45805</v>
      </c>
      <c r="P111" s="25" t="s">
        <v>146</v>
      </c>
      <c r="R111" s="115"/>
      <c r="S111" s="115"/>
      <c r="T111" s="115"/>
      <c r="U111" s="115"/>
      <c r="V111" s="115"/>
      <c r="W111" s="115"/>
      <c r="X111" s="115"/>
      <c r="Y111" s="115"/>
      <c r="Z111" s="25">
        <v>45675</v>
      </c>
      <c r="AA111" s="13" t="s">
        <v>147</v>
      </c>
      <c r="AF111" s="116"/>
      <c r="AG111" s="123"/>
      <c r="AH111" s="123"/>
      <c r="AI111" s="123"/>
      <c r="AN111" s="115"/>
      <c r="AO111" s="115"/>
      <c r="AP111" s="115"/>
      <c r="AQ111" s="115"/>
      <c r="AR111" s="115"/>
      <c r="AS111" s="115"/>
      <c r="AT111" s="115"/>
      <c r="AU111" s="115"/>
      <c r="AV111" s="115"/>
      <c r="AW111" s="115"/>
      <c r="AX111" s="25"/>
      <c r="AY111" s="13"/>
      <c r="BB111" s="114"/>
    </row>
    <row r="112" spans="1:54" ht="20.100000000000001" customHeight="1" x14ac:dyDescent="0.4">
      <c r="A112" s="117"/>
      <c r="B112" s="123"/>
      <c r="C112" s="123"/>
      <c r="D112" s="123"/>
      <c r="O112" s="25">
        <v>45805</v>
      </c>
      <c r="P112" s="13" t="s">
        <v>146</v>
      </c>
      <c r="R112" s="115"/>
      <c r="S112" s="115"/>
      <c r="T112" s="115"/>
      <c r="U112" s="115"/>
      <c r="V112" s="115"/>
      <c r="W112" s="115"/>
      <c r="X112" s="115"/>
      <c r="Y112" s="115"/>
      <c r="Z112" s="25"/>
      <c r="AA112" s="13"/>
      <c r="AF112" s="116"/>
      <c r="AG112" s="123"/>
      <c r="AH112" s="123"/>
      <c r="AI112" s="123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25"/>
      <c r="AY112" s="13"/>
      <c r="BB112" s="114"/>
    </row>
    <row r="113" spans="1:54" ht="20.100000000000001" customHeight="1" x14ac:dyDescent="0.4">
      <c r="A113" s="117"/>
      <c r="B113" s="123"/>
      <c r="C113" s="123"/>
      <c r="D113" s="123"/>
      <c r="N113" s="115" t="s">
        <v>203</v>
      </c>
      <c r="O113" s="13">
        <f>SUBTOTAL(3,O105:O112)</f>
        <v>8</v>
      </c>
      <c r="P113" s="13">
        <f>SUBTOTAL(3,P105:P112)</f>
        <v>8</v>
      </c>
      <c r="R113" s="115"/>
      <c r="S113" s="115"/>
      <c r="T113" s="115"/>
      <c r="U113" s="115"/>
      <c r="V113" s="115"/>
      <c r="W113" s="115"/>
      <c r="X113" s="115"/>
      <c r="Y113" s="115"/>
      <c r="Z113" s="25"/>
      <c r="AA113" s="13"/>
      <c r="AF113" s="116"/>
      <c r="AG113" s="123"/>
      <c r="AH113" s="123"/>
      <c r="AI113" s="123"/>
      <c r="AN113" s="115"/>
      <c r="AO113" s="115"/>
      <c r="AP113" s="115"/>
      <c r="AQ113" s="115"/>
      <c r="AR113" s="115"/>
      <c r="AS113" s="115"/>
      <c r="AT113" s="115"/>
      <c r="AU113" s="115"/>
      <c r="AV113" s="115"/>
      <c r="AW113" s="115"/>
      <c r="AX113" s="25"/>
      <c r="AY113" s="13"/>
      <c r="BB113" s="114"/>
    </row>
    <row r="114" spans="1:54" ht="20.100000000000001" customHeight="1" x14ac:dyDescent="0.4">
      <c r="A114" s="117"/>
      <c r="B114" s="123"/>
      <c r="C114" s="123"/>
      <c r="D114" s="123"/>
      <c r="O114" s="25">
        <v>45806</v>
      </c>
      <c r="P114" s="13" t="s">
        <v>147</v>
      </c>
      <c r="R114" s="115"/>
      <c r="S114" s="115"/>
      <c r="T114" s="115"/>
      <c r="U114" s="115"/>
      <c r="V114" s="115"/>
      <c r="W114" s="115"/>
      <c r="X114" s="115"/>
      <c r="Y114" s="115"/>
      <c r="Z114" s="25">
        <v>45675</v>
      </c>
      <c r="AA114" s="15" t="s">
        <v>147</v>
      </c>
      <c r="AF114" s="116"/>
      <c r="AG114" s="123"/>
      <c r="AH114" s="123"/>
      <c r="AI114" s="123"/>
      <c r="AN114" s="115"/>
      <c r="AO114" s="115"/>
      <c r="AP114" s="115"/>
      <c r="AQ114" s="115"/>
      <c r="AR114" s="115"/>
      <c r="AS114" s="115"/>
      <c r="AT114" s="115"/>
      <c r="AU114" s="115"/>
      <c r="AV114" s="115"/>
      <c r="AW114" s="115"/>
      <c r="AX114" s="25"/>
      <c r="AY114" s="13"/>
      <c r="BB114" s="114"/>
    </row>
    <row r="115" spans="1:54" ht="20.100000000000001" customHeight="1" x14ac:dyDescent="0.4">
      <c r="A115" s="117"/>
      <c r="B115" s="123"/>
      <c r="C115" s="123"/>
      <c r="D115" s="123"/>
      <c r="O115" s="25">
        <v>45806</v>
      </c>
      <c r="P115" s="13" t="s">
        <v>146</v>
      </c>
      <c r="R115" s="115"/>
      <c r="S115" s="115"/>
      <c r="T115" s="115"/>
      <c r="U115" s="115"/>
      <c r="V115" s="115"/>
      <c r="W115" s="115"/>
      <c r="X115" s="115"/>
      <c r="Y115" s="115"/>
      <c r="Z115" s="25"/>
      <c r="AA115" s="13"/>
      <c r="AF115" s="116"/>
      <c r="AG115" s="123"/>
      <c r="AH115" s="123"/>
      <c r="AI115" s="123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25"/>
      <c r="AY115" s="13"/>
      <c r="BB115" s="114"/>
    </row>
    <row r="116" spans="1:54" ht="20.100000000000001" customHeight="1" x14ac:dyDescent="0.4">
      <c r="A116" s="117"/>
      <c r="B116" s="123"/>
      <c r="C116" s="123"/>
      <c r="D116" s="123"/>
      <c r="O116" s="25">
        <v>45806</v>
      </c>
      <c r="P116" s="13" t="s">
        <v>146</v>
      </c>
      <c r="R116" s="115"/>
      <c r="S116" s="115"/>
      <c r="T116" s="115"/>
      <c r="U116" s="115"/>
      <c r="V116" s="115"/>
      <c r="W116" s="115"/>
      <c r="X116" s="115"/>
      <c r="Y116" s="115"/>
      <c r="Z116" s="25">
        <v>45675</v>
      </c>
      <c r="AA116" s="13" t="s">
        <v>147</v>
      </c>
      <c r="AF116" s="116"/>
      <c r="AG116" s="123"/>
      <c r="AH116" s="123"/>
      <c r="AI116" s="123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25"/>
      <c r="AY116" s="13"/>
      <c r="BB116" s="114"/>
    </row>
    <row r="117" spans="1:54" ht="20.100000000000001" customHeight="1" x14ac:dyDescent="0.4">
      <c r="A117" s="117"/>
      <c r="B117" s="123"/>
      <c r="C117" s="123"/>
      <c r="D117" s="123"/>
      <c r="K117" s="115"/>
      <c r="L117" s="115"/>
      <c r="M117" s="115"/>
      <c r="N117" s="115"/>
      <c r="O117" s="25">
        <v>45806</v>
      </c>
      <c r="P117" s="15" t="s">
        <v>147</v>
      </c>
      <c r="R117" s="115"/>
      <c r="S117" s="115"/>
      <c r="T117" s="115"/>
      <c r="U117" s="115"/>
      <c r="V117" s="115"/>
      <c r="W117" s="115"/>
      <c r="X117" s="115"/>
      <c r="Y117" s="115"/>
      <c r="Z117" s="25"/>
      <c r="AA117" s="13"/>
      <c r="AF117" s="116"/>
      <c r="AG117" s="123"/>
      <c r="AH117" s="123"/>
      <c r="AI117" s="123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25"/>
      <c r="AY117" s="13"/>
      <c r="BB117" s="114"/>
    </row>
    <row r="118" spans="1:54" ht="20.100000000000001" customHeight="1" x14ac:dyDescent="0.4">
      <c r="A118" s="117"/>
      <c r="B118" s="123"/>
      <c r="C118" s="123"/>
      <c r="D118" s="123"/>
      <c r="O118" s="25">
        <v>45806</v>
      </c>
      <c r="P118" s="15" t="s">
        <v>147</v>
      </c>
      <c r="R118" s="115"/>
      <c r="S118" s="115"/>
      <c r="T118" s="115"/>
      <c r="U118" s="115"/>
      <c r="V118" s="115"/>
      <c r="W118" s="115"/>
      <c r="X118" s="115"/>
      <c r="Y118" s="115"/>
      <c r="Z118" s="25"/>
      <c r="AA118" s="13"/>
      <c r="AF118" s="116"/>
      <c r="AG118" s="123"/>
      <c r="AH118" s="123"/>
      <c r="AI118" s="123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25"/>
      <c r="AY118" s="13"/>
      <c r="BB118" s="114"/>
    </row>
    <row r="119" spans="1:54" ht="20.100000000000001" customHeight="1" x14ac:dyDescent="0.4">
      <c r="A119" s="117"/>
      <c r="B119" s="123"/>
      <c r="C119" s="123"/>
      <c r="D119" s="123"/>
      <c r="M119" s="115"/>
      <c r="N119" s="115"/>
      <c r="O119" s="25">
        <v>45806</v>
      </c>
      <c r="P119" s="15" t="s">
        <v>147</v>
      </c>
      <c r="R119" s="115"/>
      <c r="S119" s="115"/>
      <c r="T119" s="115"/>
      <c r="U119" s="115"/>
      <c r="V119" s="115"/>
      <c r="W119" s="115"/>
      <c r="X119" s="115"/>
      <c r="Y119" s="115"/>
      <c r="Z119" s="25"/>
      <c r="AA119" s="13"/>
      <c r="AF119" s="116"/>
      <c r="AG119" s="123"/>
      <c r="AH119" s="123"/>
      <c r="AI119" s="123"/>
      <c r="AN119" s="115"/>
      <c r="AO119" s="115"/>
      <c r="AP119" s="115"/>
      <c r="AQ119" s="115"/>
      <c r="AR119" s="115"/>
      <c r="AS119" s="115"/>
      <c r="AT119" s="115"/>
      <c r="AU119" s="115"/>
      <c r="AV119" s="115"/>
      <c r="AW119" s="115"/>
      <c r="AX119" s="25"/>
      <c r="AY119" s="13"/>
      <c r="BB119" s="114"/>
    </row>
    <row r="120" spans="1:54" ht="20.100000000000001" customHeight="1" x14ac:dyDescent="0.4">
      <c r="A120" s="117"/>
      <c r="B120" s="123"/>
      <c r="C120" s="123"/>
      <c r="D120" s="123"/>
      <c r="L120" s="115"/>
      <c r="M120" s="115"/>
      <c r="N120" s="115"/>
      <c r="O120" s="25">
        <v>45806</v>
      </c>
      <c r="P120" s="15" t="s">
        <v>147</v>
      </c>
      <c r="R120" s="115"/>
      <c r="S120" s="115"/>
      <c r="T120" s="115"/>
      <c r="U120" s="115"/>
      <c r="V120" s="115"/>
      <c r="W120" s="115"/>
      <c r="X120" s="115"/>
      <c r="Y120" s="115"/>
      <c r="Z120" s="25"/>
      <c r="AA120" s="13"/>
      <c r="AF120" s="116"/>
      <c r="AG120" s="123"/>
      <c r="AH120" s="123"/>
      <c r="AI120" s="123"/>
      <c r="AN120" s="115"/>
      <c r="AO120" s="115"/>
      <c r="AP120" s="115"/>
      <c r="AQ120" s="115"/>
      <c r="AR120" s="115"/>
      <c r="AS120" s="115"/>
      <c r="AT120" s="115"/>
      <c r="AU120" s="115"/>
      <c r="AV120" s="115"/>
      <c r="AW120" s="115"/>
      <c r="AX120" s="25"/>
      <c r="AY120" s="13"/>
      <c r="BB120" s="114"/>
    </row>
    <row r="121" spans="1:54" ht="20.100000000000001" customHeight="1" x14ac:dyDescent="0.4">
      <c r="A121" s="117"/>
      <c r="B121" s="123"/>
      <c r="C121" s="123"/>
      <c r="D121" s="123"/>
      <c r="O121" s="25">
        <v>45806</v>
      </c>
      <c r="P121" s="15" t="s">
        <v>147</v>
      </c>
      <c r="R121" s="115"/>
      <c r="S121" s="115"/>
      <c r="T121" s="115"/>
      <c r="U121" s="115"/>
      <c r="V121" s="115"/>
      <c r="W121" s="115"/>
      <c r="X121" s="115"/>
      <c r="Y121" s="115"/>
      <c r="Z121" s="25"/>
      <c r="AA121" s="13"/>
      <c r="AF121" s="116"/>
      <c r="AG121" s="123"/>
      <c r="AH121" s="123"/>
      <c r="AI121" s="123"/>
      <c r="AN121" s="115"/>
      <c r="AO121" s="115"/>
      <c r="AP121" s="115"/>
      <c r="AQ121" s="115"/>
      <c r="AR121" s="115"/>
      <c r="AS121" s="115"/>
      <c r="AT121" s="115"/>
      <c r="AU121" s="115"/>
      <c r="AV121" s="115"/>
      <c r="AW121" s="115"/>
      <c r="AX121" s="25"/>
      <c r="AY121" s="13"/>
      <c r="BB121" s="114"/>
    </row>
    <row r="122" spans="1:54" ht="20.100000000000001" customHeight="1" x14ac:dyDescent="0.4">
      <c r="A122" s="117"/>
      <c r="B122" s="123"/>
      <c r="C122" s="123"/>
      <c r="D122" s="123"/>
      <c r="G122" s="115"/>
      <c r="H122" s="115"/>
      <c r="I122" s="115"/>
      <c r="J122" s="115"/>
      <c r="K122" s="115"/>
      <c r="L122" s="115"/>
      <c r="M122" s="115"/>
      <c r="N122" s="115"/>
      <c r="O122" s="25">
        <v>45806</v>
      </c>
      <c r="P122" s="15" t="s">
        <v>147</v>
      </c>
      <c r="R122" s="115"/>
      <c r="S122" s="115"/>
      <c r="T122" s="115"/>
      <c r="U122" s="115"/>
      <c r="V122" s="115"/>
      <c r="W122" s="115"/>
      <c r="X122" s="115"/>
      <c r="Y122" s="115"/>
      <c r="Z122" s="25"/>
      <c r="AA122" s="13"/>
      <c r="AF122" s="116"/>
      <c r="AG122" s="123"/>
      <c r="AH122" s="123"/>
      <c r="AI122" s="123"/>
      <c r="AN122" s="115"/>
      <c r="AO122" s="115"/>
      <c r="AP122" s="115"/>
      <c r="AQ122" s="115"/>
      <c r="AR122" s="115"/>
      <c r="AS122" s="115"/>
      <c r="AT122" s="115"/>
      <c r="AU122" s="115"/>
      <c r="AV122" s="115"/>
      <c r="AW122" s="115"/>
      <c r="AX122" s="25"/>
      <c r="AY122" s="13"/>
      <c r="BB122" s="114"/>
    </row>
    <row r="123" spans="1:54" ht="20.100000000000001" customHeight="1" x14ac:dyDescent="0.4">
      <c r="A123" s="117"/>
      <c r="B123" s="123"/>
      <c r="C123" s="123"/>
      <c r="D123" s="123"/>
      <c r="G123" s="115"/>
      <c r="H123" s="115"/>
      <c r="I123" s="115"/>
      <c r="J123" s="115"/>
      <c r="K123" s="115"/>
      <c r="L123" s="115"/>
      <c r="M123" s="115"/>
      <c r="N123" s="115" t="s">
        <v>214</v>
      </c>
      <c r="O123" s="13">
        <f>SUBTOTAL(3,O114:O122)</f>
        <v>9</v>
      </c>
      <c r="P123" s="13">
        <f>SUBTOTAL(3,P114:P122)</f>
        <v>9</v>
      </c>
      <c r="R123" s="115"/>
      <c r="S123" s="115"/>
      <c r="T123" s="115"/>
      <c r="U123" s="115"/>
      <c r="V123" s="115"/>
      <c r="W123" s="115"/>
      <c r="X123" s="115"/>
      <c r="Y123" s="115"/>
      <c r="Z123" s="25"/>
      <c r="AA123" s="13"/>
      <c r="AF123" s="116"/>
      <c r="AG123" s="123"/>
      <c r="AH123" s="123"/>
      <c r="AI123" s="123"/>
      <c r="AN123" s="115"/>
      <c r="AO123" s="115"/>
      <c r="AP123" s="115"/>
      <c r="AQ123" s="115"/>
      <c r="AR123" s="115"/>
      <c r="AS123" s="115"/>
      <c r="AT123" s="115"/>
      <c r="AU123" s="115"/>
      <c r="AV123" s="115"/>
      <c r="AW123" s="115"/>
      <c r="AX123" s="25"/>
      <c r="AY123" s="13"/>
      <c r="BB123" s="114"/>
    </row>
    <row r="124" spans="1:54" ht="20.100000000000001" customHeight="1" x14ac:dyDescent="0.4">
      <c r="A124" s="117"/>
      <c r="B124" s="123"/>
      <c r="C124" s="123"/>
      <c r="D124" s="123"/>
      <c r="O124" s="25">
        <v>45807</v>
      </c>
      <c r="P124" s="13" t="s">
        <v>147</v>
      </c>
      <c r="Q124" s="115"/>
      <c r="R124" s="115"/>
      <c r="S124" s="115"/>
      <c r="T124" s="115"/>
      <c r="U124" s="115"/>
      <c r="V124" s="115"/>
      <c r="W124" s="115"/>
      <c r="X124" s="115"/>
      <c r="Y124" s="115"/>
      <c r="Z124" s="25">
        <v>45675</v>
      </c>
      <c r="AA124" s="13" t="s">
        <v>146</v>
      </c>
      <c r="AF124" s="116"/>
      <c r="AG124" s="123"/>
      <c r="AH124" s="123"/>
      <c r="AI124" s="123"/>
      <c r="AN124" s="115"/>
      <c r="AO124" s="115"/>
      <c r="AP124" s="115"/>
      <c r="AQ124" s="115"/>
      <c r="AR124" s="115"/>
      <c r="AS124" s="115"/>
      <c r="AT124" s="115"/>
      <c r="AU124" s="115"/>
      <c r="AV124" s="115"/>
      <c r="AW124" s="115"/>
      <c r="AX124" s="25"/>
      <c r="AY124" s="13"/>
      <c r="BB124" s="114"/>
    </row>
    <row r="125" spans="1:54" ht="20.100000000000001" customHeight="1" x14ac:dyDescent="0.4">
      <c r="A125" s="117"/>
      <c r="B125" s="123"/>
      <c r="C125" s="123"/>
      <c r="D125" s="123"/>
      <c r="O125" s="25">
        <v>45807</v>
      </c>
      <c r="P125" s="13" t="s">
        <v>148</v>
      </c>
      <c r="Q125" s="115"/>
      <c r="R125" s="115"/>
      <c r="S125" s="115"/>
      <c r="T125" s="115"/>
      <c r="U125" s="115"/>
      <c r="V125" s="115"/>
      <c r="W125" s="115"/>
      <c r="X125" s="115"/>
      <c r="Y125" s="115"/>
      <c r="Z125" s="25">
        <v>45676</v>
      </c>
      <c r="AA125" s="13" t="s">
        <v>148</v>
      </c>
      <c r="AF125" s="116"/>
      <c r="AG125" s="123"/>
      <c r="AH125" s="123"/>
      <c r="AI125" s="123"/>
      <c r="AN125" s="115"/>
      <c r="AO125" s="115"/>
      <c r="AP125" s="115"/>
      <c r="AQ125" s="115"/>
      <c r="AR125" s="115"/>
      <c r="AS125" s="115"/>
      <c r="AT125" s="115"/>
      <c r="AU125" s="115"/>
      <c r="AV125" s="115"/>
      <c r="AW125" s="115"/>
      <c r="AX125" s="25"/>
      <c r="AY125" s="13"/>
      <c r="BB125" s="114"/>
    </row>
    <row r="126" spans="1:54" ht="20.100000000000001" customHeight="1" x14ac:dyDescent="0.4">
      <c r="A126" s="117"/>
      <c r="B126" s="123"/>
      <c r="C126" s="123"/>
      <c r="D126" s="123"/>
      <c r="N126" s="115" t="s">
        <v>407</v>
      </c>
      <c r="O126" s="13">
        <f>SUBTOTAL(3,O124:O125)</f>
        <v>2</v>
      </c>
      <c r="P126" s="13">
        <f>SUBTOTAL(3,P124:P125)</f>
        <v>2</v>
      </c>
      <c r="Q126" s="115"/>
      <c r="R126" s="115"/>
      <c r="S126" s="115"/>
      <c r="T126" s="115"/>
      <c r="U126" s="115"/>
      <c r="V126" s="115"/>
      <c r="W126" s="115"/>
      <c r="X126" s="115"/>
      <c r="Y126" s="115"/>
      <c r="Z126" s="25"/>
      <c r="AA126" s="13"/>
      <c r="AF126" s="116"/>
      <c r="AG126" s="123"/>
      <c r="AH126" s="123"/>
      <c r="AI126" s="123"/>
      <c r="AN126" s="115"/>
      <c r="AO126" s="115"/>
      <c r="AP126" s="115"/>
      <c r="AQ126" s="115"/>
      <c r="AR126" s="115"/>
      <c r="AS126" s="115"/>
      <c r="AT126" s="115"/>
      <c r="AU126" s="115"/>
      <c r="AV126" s="115"/>
      <c r="AW126" s="115"/>
      <c r="AX126" s="25"/>
      <c r="AY126" s="13"/>
      <c r="BB126" s="114"/>
    </row>
    <row r="127" spans="1:54" ht="20.100000000000001" customHeight="1" x14ac:dyDescent="0.4">
      <c r="A127" s="117"/>
      <c r="B127" s="123"/>
      <c r="C127" s="123"/>
      <c r="D127" s="123"/>
      <c r="J127" s="115"/>
      <c r="K127" s="115"/>
      <c r="L127" s="115"/>
      <c r="M127" s="115"/>
      <c r="N127" s="115"/>
      <c r="O127" s="25">
        <v>45808</v>
      </c>
      <c r="P127" s="13" t="s">
        <v>146</v>
      </c>
      <c r="Q127" s="115"/>
      <c r="R127" s="115"/>
      <c r="S127" s="115"/>
      <c r="T127" s="115"/>
      <c r="U127" s="115"/>
      <c r="V127" s="115"/>
      <c r="W127" s="115"/>
      <c r="X127" s="115"/>
      <c r="Y127" s="115"/>
      <c r="Z127" s="25"/>
      <c r="AA127" s="13"/>
      <c r="AF127" s="116"/>
      <c r="AG127" s="123"/>
      <c r="AH127" s="123"/>
      <c r="AI127" s="123"/>
      <c r="AN127" s="115"/>
      <c r="AO127" s="115"/>
      <c r="AP127" s="115"/>
      <c r="AQ127" s="115"/>
      <c r="AR127" s="115"/>
      <c r="AS127" s="115"/>
      <c r="AT127" s="115"/>
      <c r="AU127" s="115"/>
      <c r="AV127" s="115"/>
      <c r="AW127" s="115"/>
      <c r="AX127" s="25"/>
      <c r="AY127" s="13"/>
      <c r="BB127" s="114"/>
    </row>
    <row r="128" spans="1:54" ht="20.100000000000001" customHeight="1" x14ac:dyDescent="0.4">
      <c r="A128" s="117"/>
      <c r="B128" s="123"/>
      <c r="C128" s="123"/>
      <c r="D128" s="123"/>
      <c r="J128" s="115"/>
      <c r="K128" s="115"/>
      <c r="L128" s="115"/>
      <c r="M128" s="115"/>
      <c r="N128" s="115"/>
      <c r="O128" s="25">
        <v>45808</v>
      </c>
      <c r="P128" s="13" t="s">
        <v>146</v>
      </c>
      <c r="Q128" s="115"/>
      <c r="R128" s="115"/>
      <c r="S128" s="115"/>
      <c r="T128" s="115"/>
      <c r="U128" s="115"/>
      <c r="V128" s="115"/>
      <c r="W128" s="115"/>
      <c r="X128" s="115"/>
      <c r="Y128" s="115"/>
      <c r="Z128" s="25"/>
      <c r="AA128" s="13"/>
      <c r="AF128" s="116"/>
      <c r="AG128" s="123"/>
      <c r="AH128" s="123"/>
      <c r="AI128" s="123"/>
      <c r="AN128" s="115"/>
      <c r="AO128" s="115"/>
      <c r="AP128" s="115"/>
      <c r="AQ128" s="115"/>
      <c r="AR128" s="115"/>
      <c r="AS128" s="115"/>
      <c r="AT128" s="115"/>
      <c r="AU128" s="115"/>
      <c r="AV128" s="115"/>
      <c r="AW128" s="115"/>
      <c r="AX128" s="25"/>
      <c r="AY128" s="13"/>
      <c r="BB128" s="114"/>
    </row>
    <row r="129" spans="1:54" ht="20.100000000000001" customHeight="1" x14ac:dyDescent="0.4">
      <c r="A129" s="117"/>
      <c r="B129" s="123"/>
      <c r="C129" s="123"/>
      <c r="D129" s="123"/>
      <c r="G129" s="115"/>
      <c r="H129" s="115"/>
      <c r="I129" s="115"/>
      <c r="J129" s="115"/>
      <c r="K129" s="115"/>
      <c r="L129" s="115"/>
      <c r="M129" s="115"/>
      <c r="N129" s="115"/>
      <c r="O129" s="25">
        <v>45808</v>
      </c>
      <c r="P129" s="13" t="s">
        <v>146</v>
      </c>
      <c r="Q129" s="115"/>
      <c r="R129" s="115"/>
      <c r="S129" s="115"/>
      <c r="T129" s="115"/>
      <c r="U129" s="115"/>
      <c r="V129" s="115"/>
      <c r="W129" s="115"/>
      <c r="X129" s="115"/>
      <c r="Y129" s="115"/>
      <c r="Z129" s="25"/>
      <c r="AA129" s="13"/>
      <c r="AF129" s="116"/>
      <c r="AG129" s="123"/>
      <c r="AH129" s="123"/>
      <c r="AI129" s="123"/>
      <c r="AN129" s="115"/>
      <c r="AO129" s="115"/>
      <c r="AP129" s="115"/>
      <c r="AQ129" s="115"/>
      <c r="AR129" s="115"/>
      <c r="AS129" s="115"/>
      <c r="AT129" s="115"/>
      <c r="AU129" s="115"/>
      <c r="AV129" s="115"/>
      <c r="AW129" s="115"/>
      <c r="AX129" s="25"/>
      <c r="AY129" s="13"/>
      <c r="BB129" s="114"/>
    </row>
    <row r="130" spans="1:54" ht="20.100000000000001" customHeight="1" x14ac:dyDescent="0.4">
      <c r="A130" s="117"/>
      <c r="B130" s="123"/>
      <c r="C130" s="123"/>
      <c r="D130" s="123"/>
      <c r="G130" s="115"/>
      <c r="H130" s="115"/>
      <c r="I130" s="115"/>
      <c r="J130" s="115"/>
      <c r="K130" s="115"/>
      <c r="L130" s="115"/>
      <c r="M130" s="115"/>
      <c r="N130" s="115"/>
      <c r="O130" s="25">
        <v>45808</v>
      </c>
      <c r="P130" s="13" t="s">
        <v>146</v>
      </c>
      <c r="Q130" s="115"/>
      <c r="R130" s="115"/>
      <c r="S130" s="115"/>
      <c r="T130" s="115"/>
      <c r="U130" s="115"/>
      <c r="V130" s="115"/>
      <c r="W130" s="115"/>
      <c r="X130" s="115"/>
      <c r="Y130" s="115"/>
      <c r="Z130" s="25"/>
      <c r="AA130" s="13"/>
      <c r="AF130" s="116"/>
      <c r="AG130" s="123"/>
      <c r="AH130" s="123"/>
      <c r="AI130" s="123"/>
      <c r="AN130" s="115"/>
      <c r="AO130" s="115"/>
      <c r="AP130" s="115"/>
      <c r="AQ130" s="115"/>
      <c r="AR130" s="115"/>
      <c r="AS130" s="115"/>
      <c r="AT130" s="115"/>
      <c r="AU130" s="115"/>
      <c r="AV130" s="115"/>
      <c r="AW130" s="115"/>
      <c r="AX130" s="25"/>
      <c r="AY130" s="13"/>
      <c r="BB130" s="114"/>
    </row>
    <row r="131" spans="1:54" ht="20.100000000000001" customHeight="1" x14ac:dyDescent="0.4">
      <c r="A131" s="117"/>
      <c r="B131" s="123"/>
      <c r="C131" s="123"/>
      <c r="D131" s="123"/>
      <c r="O131" s="25">
        <v>45808</v>
      </c>
      <c r="P131" s="13" t="s">
        <v>146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25">
        <v>45677</v>
      </c>
      <c r="AA131" s="13" t="s">
        <v>146</v>
      </c>
      <c r="AF131" s="116"/>
      <c r="AG131" s="123"/>
      <c r="AH131" s="123"/>
      <c r="AI131" s="123"/>
      <c r="AN131" s="115"/>
      <c r="AO131" s="115"/>
      <c r="AP131" s="115"/>
      <c r="AQ131" s="115"/>
      <c r="AR131" s="115"/>
      <c r="AS131" s="115"/>
      <c r="AT131" s="115"/>
      <c r="AU131" s="115"/>
      <c r="AV131" s="115"/>
      <c r="AW131" s="115"/>
      <c r="AX131" s="25"/>
      <c r="AY131" s="13"/>
      <c r="BB131" s="114"/>
    </row>
    <row r="132" spans="1:54" ht="20.100000000000001" customHeight="1" x14ac:dyDescent="0.4">
      <c r="A132" s="117"/>
      <c r="B132" s="123"/>
      <c r="C132" s="123"/>
      <c r="D132" s="123"/>
      <c r="I132" s="115"/>
      <c r="J132" s="115"/>
      <c r="K132" s="115"/>
      <c r="L132" s="115"/>
      <c r="M132" s="115"/>
      <c r="N132" s="115"/>
      <c r="O132" s="25">
        <v>45808</v>
      </c>
      <c r="P132" s="13" t="s">
        <v>146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25"/>
      <c r="AA132" s="13"/>
      <c r="AF132" s="116"/>
      <c r="AG132" s="123"/>
      <c r="AH132" s="123"/>
      <c r="AI132" s="123"/>
      <c r="AN132" s="115"/>
      <c r="AO132" s="115"/>
      <c r="AP132" s="115"/>
      <c r="AQ132" s="115"/>
      <c r="AR132" s="115"/>
      <c r="AS132" s="115"/>
      <c r="AT132" s="115"/>
      <c r="AU132" s="115"/>
      <c r="AV132" s="115"/>
      <c r="AW132" s="115"/>
      <c r="AX132" s="25"/>
      <c r="AY132" s="13"/>
      <c r="BB132" s="114"/>
    </row>
    <row r="133" spans="1:54" ht="20.100000000000001" customHeight="1" x14ac:dyDescent="0.4">
      <c r="A133" s="117"/>
      <c r="B133" s="123"/>
      <c r="C133" s="123"/>
      <c r="D133" s="123"/>
      <c r="O133" s="25">
        <v>45808</v>
      </c>
      <c r="P133" s="13" t="s">
        <v>146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25"/>
      <c r="AA133" s="13"/>
      <c r="AF133" s="116"/>
      <c r="AG133" s="123"/>
      <c r="AH133" s="123"/>
      <c r="AI133" s="123"/>
      <c r="AN133" s="115"/>
      <c r="AO133" s="115"/>
      <c r="AP133" s="115"/>
      <c r="AQ133" s="115"/>
      <c r="AR133" s="115"/>
      <c r="AS133" s="115"/>
      <c r="AT133" s="115"/>
      <c r="AU133" s="115"/>
      <c r="AV133" s="115"/>
      <c r="AW133" s="115"/>
      <c r="AX133" s="25"/>
      <c r="AY133" s="13"/>
      <c r="BB133" s="114"/>
    </row>
    <row r="134" spans="1:54" ht="20.100000000000001" customHeight="1" x14ac:dyDescent="0.4">
      <c r="A134" s="117"/>
      <c r="B134" s="123"/>
      <c r="C134" s="123"/>
      <c r="D134" s="123"/>
      <c r="K134" s="115"/>
      <c r="L134" s="115"/>
      <c r="M134" s="115"/>
      <c r="N134" s="115"/>
      <c r="O134" s="25">
        <v>45808</v>
      </c>
      <c r="P134" s="13" t="s">
        <v>146</v>
      </c>
      <c r="Q134" s="115"/>
      <c r="R134" s="115"/>
      <c r="S134" s="115"/>
      <c r="T134" s="115"/>
      <c r="U134" s="115"/>
      <c r="V134" s="115"/>
      <c r="W134" s="115"/>
      <c r="X134" s="115"/>
      <c r="Y134" s="115"/>
      <c r="Z134" s="25"/>
      <c r="AA134" s="13"/>
      <c r="AF134" s="116"/>
      <c r="AG134" s="123"/>
      <c r="AH134" s="123"/>
      <c r="AI134" s="123"/>
      <c r="AN134" s="115"/>
      <c r="AO134" s="115"/>
      <c r="AP134" s="115"/>
      <c r="AQ134" s="115"/>
      <c r="AR134" s="115"/>
      <c r="AS134" s="115"/>
      <c r="AT134" s="115"/>
      <c r="AU134" s="115"/>
      <c r="AV134" s="115"/>
      <c r="AW134" s="115"/>
      <c r="AX134" s="25"/>
      <c r="AY134" s="13"/>
      <c r="BB134" s="114"/>
    </row>
    <row r="135" spans="1:54" ht="20.100000000000001" customHeight="1" x14ac:dyDescent="0.4">
      <c r="A135" s="117"/>
      <c r="B135" s="123"/>
      <c r="C135" s="123"/>
      <c r="D135" s="123"/>
      <c r="K135" s="115"/>
      <c r="L135" s="115"/>
      <c r="M135" s="115"/>
      <c r="N135" s="115"/>
      <c r="O135" s="25">
        <v>45808</v>
      </c>
      <c r="P135" s="13" t="s">
        <v>146</v>
      </c>
      <c r="Q135" s="115"/>
      <c r="R135" s="115"/>
      <c r="S135" s="115"/>
      <c r="T135" s="115"/>
      <c r="U135" s="115"/>
      <c r="V135" s="115"/>
      <c r="W135" s="115"/>
      <c r="X135" s="115"/>
      <c r="Y135" s="115"/>
      <c r="Z135" s="25"/>
      <c r="AA135" s="13"/>
      <c r="AF135" s="116"/>
      <c r="AG135" s="123"/>
      <c r="AH135" s="123"/>
      <c r="AI135" s="123"/>
      <c r="AN135" s="115"/>
      <c r="AO135" s="115"/>
      <c r="AP135" s="115"/>
      <c r="AQ135" s="115"/>
      <c r="AR135" s="115"/>
      <c r="AS135" s="115"/>
      <c r="AT135" s="115"/>
      <c r="AU135" s="115"/>
      <c r="AV135" s="115"/>
      <c r="AW135" s="115"/>
      <c r="AX135" s="25"/>
      <c r="AY135" s="13"/>
      <c r="BB135" s="114"/>
    </row>
    <row r="136" spans="1:54" ht="20.100000000000001" customHeight="1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115"/>
      <c r="O136" s="25">
        <v>45808</v>
      </c>
      <c r="P136" s="13" t="s">
        <v>146</v>
      </c>
      <c r="Q136" s="115"/>
      <c r="R136" s="115"/>
      <c r="S136" s="115"/>
      <c r="T136" s="115"/>
      <c r="U136" s="115"/>
      <c r="V136" s="115"/>
      <c r="W136" s="115"/>
      <c r="X136" s="115"/>
      <c r="Y136" s="115"/>
      <c r="Z136" s="25"/>
      <c r="AA136" s="13"/>
      <c r="AF136" s="116"/>
      <c r="AG136" s="123"/>
      <c r="AH136" s="123"/>
      <c r="AI136" s="123"/>
      <c r="AN136" s="115"/>
      <c r="AO136" s="115"/>
      <c r="AP136" s="115"/>
      <c r="AQ136" s="115"/>
      <c r="AR136" s="115"/>
      <c r="AS136" s="115"/>
      <c r="AT136" s="115"/>
      <c r="AU136" s="115"/>
      <c r="AV136" s="115"/>
      <c r="AW136" s="115"/>
      <c r="AX136" s="25"/>
      <c r="AY136" s="13"/>
      <c r="BB136" s="114"/>
    </row>
    <row r="137" spans="1:54" ht="20.100000000000001" customHeight="1" x14ac:dyDescent="0.4">
      <c r="A137" s="117"/>
      <c r="B137" s="123"/>
      <c r="C137" s="123"/>
      <c r="D137" s="123"/>
      <c r="O137" s="26">
        <v>45808</v>
      </c>
      <c r="P137" s="13" t="s">
        <v>146</v>
      </c>
      <c r="Q137" s="115"/>
      <c r="R137" s="115"/>
      <c r="S137" s="115"/>
      <c r="T137" s="115"/>
      <c r="U137" s="115"/>
      <c r="V137" s="115"/>
      <c r="W137" s="115"/>
      <c r="X137" s="115"/>
      <c r="Y137" s="115"/>
      <c r="Z137" s="25">
        <v>45677</v>
      </c>
      <c r="AA137" s="13" t="s">
        <v>146</v>
      </c>
      <c r="AF137" s="116"/>
      <c r="AG137" s="123"/>
      <c r="AH137" s="123"/>
      <c r="AI137" s="123"/>
      <c r="AN137" s="115"/>
      <c r="AO137" s="115"/>
      <c r="AP137" s="115"/>
      <c r="AQ137" s="115"/>
      <c r="AR137" s="115"/>
      <c r="AS137" s="115"/>
      <c r="AT137" s="115"/>
      <c r="AU137" s="115"/>
      <c r="AV137" s="115"/>
      <c r="AW137" s="115"/>
      <c r="AX137" s="25"/>
      <c r="AY137" s="13"/>
      <c r="BB137" s="114"/>
    </row>
    <row r="138" spans="1:54" ht="20.100000000000001" customHeight="1" x14ac:dyDescent="0.4">
      <c r="A138" s="117"/>
      <c r="B138" s="123"/>
      <c r="C138" s="123"/>
      <c r="D138" s="123"/>
      <c r="N138" s="115" t="s">
        <v>408</v>
      </c>
      <c r="O138" s="17">
        <f>SUBTOTAL(3,O127:O137)</f>
        <v>11</v>
      </c>
      <c r="P138" s="13">
        <f>SUBTOTAL(3,P127:P137)</f>
        <v>11</v>
      </c>
      <c r="Q138" s="115"/>
      <c r="R138" s="115"/>
      <c r="S138" s="115"/>
      <c r="T138" s="115"/>
      <c r="U138" s="115"/>
      <c r="V138" s="115"/>
      <c r="W138" s="115"/>
      <c r="X138" s="115"/>
      <c r="Y138" s="115"/>
      <c r="Z138" s="25"/>
      <c r="AA138" s="13"/>
      <c r="AF138" s="116"/>
      <c r="AG138" s="123"/>
      <c r="AH138" s="123"/>
      <c r="AI138" s="123"/>
      <c r="AN138" s="115"/>
      <c r="AO138" s="115"/>
      <c r="AP138" s="115"/>
      <c r="AQ138" s="115"/>
      <c r="AR138" s="115"/>
      <c r="AS138" s="115"/>
      <c r="AT138" s="115"/>
      <c r="AU138" s="115"/>
      <c r="AV138" s="115"/>
      <c r="AW138" s="115"/>
      <c r="AX138" s="25"/>
      <c r="AY138" s="13"/>
      <c r="BB138" s="114"/>
    </row>
    <row r="139" spans="1:54" ht="20.100000000000001" customHeight="1" x14ac:dyDescent="0.4">
      <c r="A139" s="117"/>
      <c r="B139" s="123"/>
      <c r="C139" s="123"/>
      <c r="D139" s="123"/>
      <c r="G139" s="115"/>
      <c r="H139" s="115"/>
      <c r="I139" s="115"/>
      <c r="J139" s="115"/>
      <c r="K139" s="115"/>
      <c r="L139" s="115"/>
      <c r="M139" s="115"/>
      <c r="N139" s="115"/>
      <c r="O139" s="26">
        <v>45809</v>
      </c>
      <c r="P139" s="13" t="s">
        <v>148</v>
      </c>
      <c r="Q139" s="115"/>
      <c r="R139" s="115"/>
      <c r="S139" s="115"/>
      <c r="T139" s="115"/>
      <c r="U139" s="115"/>
      <c r="V139" s="115"/>
      <c r="W139" s="115"/>
      <c r="X139" s="115"/>
      <c r="Y139" s="115"/>
      <c r="Z139" s="25"/>
      <c r="AA139" s="13"/>
      <c r="AF139" s="116"/>
      <c r="AG139" s="123"/>
      <c r="AH139" s="123"/>
      <c r="AI139" s="123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25"/>
      <c r="AY139" s="13"/>
      <c r="BB139" s="114"/>
    </row>
    <row r="140" spans="1:54" ht="20.100000000000001" customHeight="1" x14ac:dyDescent="0.4">
      <c r="A140" s="117"/>
      <c r="B140" s="123"/>
      <c r="C140" s="123"/>
      <c r="D140" s="123"/>
      <c r="G140" s="115"/>
      <c r="H140" s="115"/>
      <c r="I140" s="115"/>
      <c r="J140" s="115"/>
      <c r="K140" s="115"/>
      <c r="L140" s="115"/>
      <c r="M140" s="115"/>
      <c r="N140" s="115"/>
      <c r="O140" s="26">
        <v>45809</v>
      </c>
      <c r="P140" s="13" t="s">
        <v>146</v>
      </c>
      <c r="Q140" s="115"/>
      <c r="R140" s="115"/>
      <c r="S140" s="115"/>
      <c r="T140" s="115"/>
      <c r="U140" s="115"/>
      <c r="V140" s="115"/>
      <c r="W140" s="115"/>
      <c r="X140" s="115"/>
      <c r="Y140" s="115"/>
      <c r="Z140" s="25"/>
      <c r="AA140" s="13"/>
      <c r="AF140" s="116"/>
      <c r="AG140" s="123"/>
      <c r="AH140" s="123"/>
      <c r="AI140" s="123"/>
      <c r="AN140" s="115"/>
      <c r="AO140" s="115"/>
      <c r="AP140" s="115"/>
      <c r="AQ140" s="115"/>
      <c r="AR140" s="115"/>
      <c r="AS140" s="115"/>
      <c r="AT140" s="115"/>
      <c r="AU140" s="115"/>
      <c r="AV140" s="115"/>
      <c r="AW140" s="115"/>
      <c r="AX140" s="25"/>
      <c r="AY140" s="13"/>
      <c r="BB140" s="114"/>
    </row>
    <row r="141" spans="1:54" ht="20.100000000000001" customHeight="1" x14ac:dyDescent="0.4">
      <c r="A141" s="117"/>
      <c r="B141" s="123"/>
      <c r="C141" s="123"/>
      <c r="D141" s="123"/>
      <c r="O141" s="26">
        <v>45809</v>
      </c>
      <c r="P141" s="13" t="s">
        <v>146</v>
      </c>
      <c r="Q141" s="115"/>
      <c r="R141" s="115"/>
      <c r="S141" s="115"/>
      <c r="T141" s="115"/>
      <c r="U141" s="115"/>
      <c r="V141" s="115"/>
      <c r="W141" s="115"/>
      <c r="X141" s="115"/>
      <c r="Y141" s="115"/>
      <c r="Z141" s="25">
        <v>45677</v>
      </c>
      <c r="AA141" s="13" t="s">
        <v>148</v>
      </c>
      <c r="AF141" s="116"/>
      <c r="AG141" s="123"/>
      <c r="AH141" s="123"/>
      <c r="AI141" s="123"/>
      <c r="AN141" s="115"/>
      <c r="AO141" s="115"/>
      <c r="AP141" s="115"/>
      <c r="AQ141" s="115"/>
      <c r="AR141" s="115"/>
      <c r="AS141" s="115"/>
      <c r="AT141" s="115"/>
      <c r="AU141" s="115"/>
      <c r="AV141" s="115"/>
      <c r="AW141" s="115"/>
      <c r="AX141" s="25"/>
      <c r="AY141" s="13"/>
      <c r="BB141" s="114"/>
    </row>
    <row r="142" spans="1:54" ht="19.5" x14ac:dyDescent="0.4">
      <c r="A142" s="117"/>
      <c r="B142" s="123"/>
      <c r="C142" s="123"/>
      <c r="D142" s="123"/>
      <c r="O142" s="26">
        <v>45809</v>
      </c>
      <c r="P142" s="13" t="s">
        <v>147</v>
      </c>
      <c r="Q142" s="115"/>
      <c r="R142" s="115"/>
      <c r="S142" s="115"/>
      <c r="T142" s="115"/>
      <c r="U142" s="115"/>
      <c r="V142" s="115"/>
      <c r="W142" s="115"/>
      <c r="X142" s="115"/>
      <c r="Y142" s="115"/>
      <c r="Z142" s="25"/>
      <c r="AA142" s="13"/>
      <c r="AF142" s="116"/>
      <c r="AG142" s="123"/>
      <c r="AH142" s="123"/>
      <c r="AI142" s="123"/>
      <c r="AN142" s="115"/>
      <c r="AO142" s="115"/>
      <c r="AP142" s="115"/>
      <c r="AQ142" s="115"/>
      <c r="AR142" s="115"/>
      <c r="AS142" s="115"/>
      <c r="AT142" s="115"/>
      <c r="AU142" s="115"/>
      <c r="AV142" s="115"/>
      <c r="AW142" s="115"/>
      <c r="AX142" s="25"/>
      <c r="AY142" s="13"/>
      <c r="BB142" s="114"/>
    </row>
    <row r="143" spans="1:54" ht="19.5" x14ac:dyDescent="0.4">
      <c r="A143" s="117"/>
      <c r="B143" s="123"/>
      <c r="C143" s="123"/>
      <c r="D143" s="123"/>
      <c r="M143" s="115"/>
      <c r="N143" s="115"/>
      <c r="O143" s="26">
        <v>45809</v>
      </c>
      <c r="P143" s="13" t="s">
        <v>147</v>
      </c>
      <c r="Q143" s="115"/>
      <c r="R143" s="115"/>
      <c r="S143" s="115"/>
      <c r="T143" s="115"/>
      <c r="U143" s="115"/>
      <c r="V143" s="115"/>
      <c r="W143" s="115"/>
      <c r="X143" s="115"/>
      <c r="Y143" s="115"/>
      <c r="Z143" s="25"/>
      <c r="AA143" s="13"/>
      <c r="AF143" s="116"/>
      <c r="AG143" s="123"/>
      <c r="AH143" s="123"/>
      <c r="AI143" s="123"/>
      <c r="AN143" s="115"/>
      <c r="AO143" s="115"/>
      <c r="AP143" s="115"/>
      <c r="AQ143" s="115"/>
      <c r="AR143" s="115"/>
      <c r="AS143" s="115"/>
      <c r="AT143" s="115"/>
      <c r="AU143" s="115"/>
      <c r="AV143" s="115"/>
      <c r="AW143" s="115"/>
      <c r="AX143" s="25"/>
      <c r="AY143" s="13"/>
      <c r="BB143" s="114"/>
    </row>
    <row r="144" spans="1:54" ht="19.5" x14ac:dyDescent="0.4">
      <c r="A144" s="117"/>
      <c r="B144" s="123"/>
      <c r="C144" s="123"/>
      <c r="D144" s="123"/>
      <c r="K144" s="115"/>
      <c r="L144" s="115"/>
      <c r="M144" s="115"/>
      <c r="N144" s="115"/>
      <c r="O144" s="26">
        <v>45809</v>
      </c>
      <c r="P144" s="13" t="s">
        <v>147</v>
      </c>
      <c r="Q144" s="115"/>
      <c r="R144" s="115"/>
      <c r="S144" s="115"/>
      <c r="T144" s="115"/>
      <c r="U144" s="115"/>
      <c r="V144" s="115"/>
      <c r="W144" s="115"/>
      <c r="X144" s="115"/>
      <c r="Y144" s="115"/>
      <c r="Z144" s="25"/>
      <c r="AA144" s="13"/>
      <c r="AF144" s="116"/>
      <c r="AG144" s="123"/>
      <c r="AH144" s="123"/>
      <c r="AI144" s="123"/>
      <c r="AN144" s="115"/>
      <c r="AO144" s="115"/>
      <c r="AP144" s="115"/>
      <c r="AQ144" s="115"/>
      <c r="AR144" s="115"/>
      <c r="AS144" s="115"/>
      <c r="AT144" s="115"/>
      <c r="AU144" s="115"/>
      <c r="AV144" s="115"/>
      <c r="AW144" s="115"/>
      <c r="AX144" s="25"/>
      <c r="AY144" s="13"/>
      <c r="BB144" s="114"/>
    </row>
    <row r="145" spans="1:54" ht="19.5" x14ac:dyDescent="0.4">
      <c r="A145" s="117"/>
      <c r="B145" s="123"/>
      <c r="C145" s="123"/>
      <c r="D145" s="123"/>
      <c r="G145" s="115"/>
      <c r="H145" s="115"/>
      <c r="I145" s="115"/>
      <c r="J145" s="115"/>
      <c r="K145" s="115"/>
      <c r="L145" s="115"/>
      <c r="M145" s="115"/>
      <c r="N145" s="115"/>
      <c r="O145" s="26">
        <v>45809</v>
      </c>
      <c r="P145" s="13" t="s">
        <v>147</v>
      </c>
      <c r="Q145" s="115"/>
      <c r="R145" s="115"/>
      <c r="S145" s="115"/>
      <c r="T145" s="115"/>
      <c r="U145" s="115"/>
      <c r="V145" s="115"/>
      <c r="W145" s="115"/>
      <c r="X145" s="115"/>
      <c r="Y145" s="115"/>
      <c r="Z145" s="25"/>
      <c r="AA145" s="13"/>
      <c r="AF145" s="116"/>
      <c r="AG145" s="123"/>
      <c r="AH145" s="123"/>
      <c r="AI145" s="123"/>
      <c r="AN145" s="115"/>
      <c r="AO145" s="115"/>
      <c r="AP145" s="115"/>
      <c r="AQ145" s="115"/>
      <c r="AR145" s="115"/>
      <c r="AS145" s="115"/>
      <c r="AT145" s="115"/>
      <c r="AU145" s="115"/>
      <c r="AV145" s="115"/>
      <c r="AW145" s="115"/>
      <c r="AX145" s="25"/>
      <c r="AY145" s="13"/>
      <c r="BB145" s="114"/>
    </row>
    <row r="146" spans="1:54" ht="19.5" x14ac:dyDescent="0.4">
      <c r="A146" s="117"/>
      <c r="B146" s="123"/>
      <c r="C146" s="123"/>
      <c r="D146" s="123"/>
      <c r="G146" s="115"/>
      <c r="H146" s="115"/>
      <c r="I146" s="115"/>
      <c r="J146" s="115"/>
      <c r="K146" s="115"/>
      <c r="L146" s="115"/>
      <c r="M146" s="115"/>
      <c r="N146" s="115"/>
      <c r="O146" s="26">
        <v>45809</v>
      </c>
      <c r="P146" s="13" t="s">
        <v>147</v>
      </c>
      <c r="Q146" s="115"/>
      <c r="R146" s="115"/>
      <c r="S146" s="115"/>
      <c r="T146" s="115"/>
      <c r="U146" s="115"/>
      <c r="V146" s="115"/>
      <c r="W146" s="115"/>
      <c r="X146" s="115"/>
      <c r="Y146" s="115"/>
      <c r="Z146" s="25"/>
      <c r="AA146" s="13"/>
      <c r="AF146" s="116"/>
      <c r="AG146" s="123"/>
      <c r="AH146" s="123"/>
      <c r="AI146" s="123"/>
      <c r="AN146" s="115"/>
      <c r="AO146" s="115"/>
      <c r="AP146" s="115"/>
      <c r="AQ146" s="115"/>
      <c r="AR146" s="115"/>
      <c r="AS146" s="115"/>
      <c r="AT146" s="115"/>
      <c r="AU146" s="115"/>
      <c r="AV146" s="115"/>
      <c r="AW146" s="115"/>
      <c r="AX146" s="25"/>
      <c r="AY146" s="13"/>
      <c r="BB146" s="114"/>
    </row>
    <row r="147" spans="1:54" ht="19.5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26">
        <v>45809</v>
      </c>
      <c r="P147" s="13" t="s">
        <v>147</v>
      </c>
      <c r="Q147" s="115"/>
      <c r="R147" s="115"/>
      <c r="S147" s="115"/>
      <c r="T147" s="115"/>
      <c r="U147" s="115"/>
      <c r="V147" s="115"/>
      <c r="W147" s="115"/>
      <c r="X147" s="115"/>
      <c r="Y147" s="115"/>
      <c r="Z147" s="25"/>
      <c r="AA147" s="13"/>
      <c r="AF147" s="116"/>
      <c r="AG147" s="123"/>
      <c r="AH147" s="123"/>
      <c r="AI147" s="123"/>
      <c r="AN147" s="115"/>
      <c r="AO147" s="115"/>
      <c r="AP147" s="115"/>
      <c r="AQ147" s="115"/>
      <c r="AR147" s="115"/>
      <c r="AS147" s="115"/>
      <c r="AT147" s="115"/>
      <c r="AU147" s="115"/>
      <c r="AV147" s="115"/>
      <c r="AW147" s="115"/>
      <c r="AX147" s="25"/>
      <c r="AY147" s="13"/>
      <c r="BB147" s="114"/>
    </row>
    <row r="148" spans="1:54" ht="19.5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26">
        <v>45809</v>
      </c>
      <c r="P148" s="13" t="s">
        <v>147</v>
      </c>
      <c r="Q148" s="115"/>
      <c r="R148" s="115"/>
      <c r="S148" s="115"/>
      <c r="T148" s="115"/>
      <c r="U148" s="115"/>
      <c r="V148" s="115"/>
      <c r="W148" s="115"/>
      <c r="X148" s="115"/>
      <c r="Y148" s="115"/>
      <c r="Z148" s="25"/>
      <c r="AA148" s="13"/>
      <c r="AF148" s="116"/>
      <c r="AG148" s="123"/>
      <c r="AH148" s="123"/>
      <c r="AI148" s="123"/>
      <c r="AN148" s="115"/>
      <c r="AO148" s="115"/>
      <c r="AP148" s="115"/>
      <c r="AQ148" s="115"/>
      <c r="AR148" s="115"/>
      <c r="AS148" s="115"/>
      <c r="AT148" s="115"/>
      <c r="AU148" s="115"/>
      <c r="AV148" s="115"/>
      <c r="AW148" s="115"/>
      <c r="AX148" s="25"/>
      <c r="AY148" s="13"/>
      <c r="BB148" s="114"/>
    </row>
    <row r="149" spans="1:54" ht="19.5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26">
        <v>45809</v>
      </c>
      <c r="P149" s="13" t="s">
        <v>147</v>
      </c>
      <c r="Q149" s="115"/>
      <c r="R149" s="115"/>
      <c r="S149" s="115"/>
      <c r="T149" s="115"/>
      <c r="U149" s="115"/>
      <c r="V149" s="115"/>
      <c r="W149" s="115"/>
      <c r="X149" s="115"/>
      <c r="Y149" s="115"/>
      <c r="Z149" s="25"/>
      <c r="AA149" s="13"/>
      <c r="AF149" s="116"/>
      <c r="AG149" s="123"/>
      <c r="AH149" s="123"/>
      <c r="AI149" s="123"/>
      <c r="AN149" s="115"/>
      <c r="AO149" s="115"/>
      <c r="AP149" s="115"/>
      <c r="AQ149" s="115"/>
      <c r="AR149" s="115"/>
      <c r="AS149" s="115"/>
      <c r="AT149" s="115"/>
      <c r="AU149" s="115"/>
      <c r="AV149" s="115"/>
      <c r="AW149" s="115"/>
      <c r="AX149" s="25"/>
      <c r="AY149" s="13"/>
      <c r="BB149" s="114"/>
    </row>
    <row r="150" spans="1:54" ht="19.5" x14ac:dyDescent="0.4">
      <c r="A150" s="117"/>
      <c r="B150" s="123"/>
      <c r="C150" s="123"/>
      <c r="D150" s="123"/>
      <c r="O150" s="26">
        <v>45809</v>
      </c>
      <c r="P150" s="13" t="s">
        <v>147</v>
      </c>
      <c r="Q150" s="115"/>
      <c r="R150" s="115"/>
      <c r="S150" s="115"/>
      <c r="T150" s="115"/>
      <c r="U150" s="115"/>
      <c r="V150" s="115"/>
      <c r="W150" s="115"/>
      <c r="X150" s="115"/>
      <c r="Y150" s="115"/>
      <c r="Z150" s="25">
        <v>45677</v>
      </c>
      <c r="AA150" s="13" t="s">
        <v>146</v>
      </c>
      <c r="AF150" s="116"/>
      <c r="AG150" s="123"/>
      <c r="AH150" s="123"/>
      <c r="AI150" s="123"/>
      <c r="AN150" s="115"/>
      <c r="AO150" s="115"/>
      <c r="AP150" s="115"/>
      <c r="AQ150" s="115"/>
      <c r="AR150" s="115"/>
      <c r="AS150" s="115"/>
      <c r="AT150" s="115"/>
      <c r="AU150" s="115"/>
      <c r="AV150" s="115"/>
      <c r="AW150" s="115"/>
      <c r="AX150" s="25"/>
      <c r="AY150" s="13"/>
      <c r="BB150" s="114"/>
    </row>
    <row r="151" spans="1:54" ht="19.5" x14ac:dyDescent="0.4">
      <c r="A151" s="117"/>
      <c r="B151" s="123"/>
      <c r="C151" s="123"/>
      <c r="D151" s="123"/>
      <c r="K151" s="115"/>
      <c r="L151" s="115"/>
      <c r="M151" s="115"/>
      <c r="N151" s="115"/>
      <c r="O151" s="26">
        <v>45809</v>
      </c>
      <c r="P151" s="13" t="s">
        <v>147</v>
      </c>
      <c r="Q151" s="115"/>
      <c r="R151" s="115"/>
      <c r="S151" s="115"/>
      <c r="T151" s="115"/>
      <c r="U151" s="115"/>
      <c r="V151" s="115"/>
      <c r="W151" s="115"/>
      <c r="X151" s="115"/>
      <c r="Y151" s="115"/>
      <c r="Z151" s="25"/>
      <c r="AA151" s="13"/>
      <c r="AF151" s="116"/>
      <c r="AG151" s="123"/>
      <c r="AH151" s="123"/>
      <c r="AI151" s="123"/>
      <c r="AN151" s="115"/>
      <c r="AO151" s="115"/>
      <c r="AP151" s="115"/>
      <c r="AQ151" s="115"/>
      <c r="AR151" s="115"/>
      <c r="AS151" s="115"/>
      <c r="AT151" s="115"/>
      <c r="AU151" s="115"/>
      <c r="AV151" s="115"/>
      <c r="AW151" s="115"/>
      <c r="AX151" s="25"/>
      <c r="AY151" s="13"/>
      <c r="BB151" s="114"/>
    </row>
    <row r="152" spans="1:54" ht="19.5" x14ac:dyDescent="0.4">
      <c r="A152" s="117"/>
      <c r="B152" s="123"/>
      <c r="C152" s="123"/>
      <c r="D152" s="123"/>
      <c r="O152" s="26">
        <v>45809</v>
      </c>
      <c r="P152" s="13" t="s">
        <v>147</v>
      </c>
      <c r="Q152" s="115"/>
      <c r="R152" s="115"/>
      <c r="S152" s="115"/>
      <c r="T152" s="115"/>
      <c r="U152" s="115"/>
      <c r="V152" s="115"/>
      <c r="W152" s="115"/>
      <c r="X152" s="115"/>
      <c r="Y152" s="115"/>
      <c r="Z152" s="25"/>
      <c r="AA152" s="13"/>
      <c r="AF152" s="116"/>
      <c r="AG152" s="123"/>
      <c r="AH152" s="123"/>
      <c r="AI152" s="123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25"/>
      <c r="AY152" s="13"/>
      <c r="BB152" s="114"/>
    </row>
    <row r="153" spans="1:54" ht="19.5" x14ac:dyDescent="0.4">
      <c r="A153" s="117"/>
      <c r="B153" s="123"/>
      <c r="C153" s="123"/>
      <c r="D153" s="123"/>
      <c r="K153" s="115"/>
      <c r="L153" s="115"/>
      <c r="M153" s="115"/>
      <c r="N153" s="115"/>
      <c r="O153" s="26">
        <v>45809</v>
      </c>
      <c r="P153" s="13" t="s">
        <v>147</v>
      </c>
      <c r="Q153" s="115"/>
      <c r="R153" s="115"/>
      <c r="S153" s="115"/>
      <c r="T153" s="115"/>
      <c r="U153" s="115"/>
      <c r="V153" s="115"/>
      <c r="W153" s="115"/>
      <c r="X153" s="115"/>
      <c r="Y153" s="115"/>
      <c r="Z153" s="25"/>
      <c r="AA153" s="13"/>
      <c r="AF153" s="116"/>
      <c r="AG153" s="123"/>
      <c r="AH153" s="123"/>
      <c r="AI153" s="123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25"/>
      <c r="AY153" s="13"/>
      <c r="BB153" s="114"/>
    </row>
    <row r="154" spans="1:54" ht="19.5" x14ac:dyDescent="0.4">
      <c r="A154" s="117"/>
      <c r="B154" s="123"/>
      <c r="C154" s="123"/>
      <c r="D154" s="123"/>
      <c r="K154" s="115"/>
      <c r="L154" s="115"/>
      <c r="M154" s="115"/>
      <c r="N154" s="115"/>
      <c r="O154" s="26">
        <v>45809</v>
      </c>
      <c r="P154" s="15" t="s">
        <v>147</v>
      </c>
      <c r="Q154" s="115"/>
      <c r="R154" s="115"/>
      <c r="S154" s="115"/>
      <c r="T154" s="115"/>
      <c r="U154" s="115"/>
      <c r="V154" s="115"/>
      <c r="W154" s="115"/>
      <c r="X154" s="115"/>
      <c r="Y154" s="115"/>
      <c r="Z154" s="25"/>
      <c r="AA154" s="13"/>
      <c r="AF154" s="116"/>
      <c r="AG154" s="123"/>
      <c r="AH154" s="123"/>
      <c r="AI154" s="123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25"/>
      <c r="AY154" s="13"/>
      <c r="BB154" s="114"/>
    </row>
    <row r="155" spans="1:54" ht="19.5" x14ac:dyDescent="0.4">
      <c r="A155" s="117"/>
      <c r="B155" s="123"/>
      <c r="C155" s="123"/>
      <c r="D155" s="123"/>
      <c r="O155" s="26">
        <v>45809</v>
      </c>
      <c r="P155" s="13" t="s">
        <v>148</v>
      </c>
      <c r="Q155" s="115"/>
      <c r="R155" s="115"/>
      <c r="S155" s="115"/>
      <c r="T155" s="115"/>
      <c r="U155" s="115"/>
      <c r="V155" s="115"/>
      <c r="W155" s="115"/>
      <c r="X155" s="115"/>
      <c r="Y155" s="115"/>
      <c r="Z155" s="25"/>
      <c r="AA155" s="13"/>
      <c r="AF155" s="116"/>
      <c r="AG155" s="123"/>
      <c r="AH155" s="123"/>
      <c r="AI155" s="123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25"/>
      <c r="AY155" s="13"/>
      <c r="BB155" s="114"/>
    </row>
    <row r="156" spans="1:54" ht="19.5" x14ac:dyDescent="0.4">
      <c r="A156" s="117"/>
      <c r="B156" s="123"/>
      <c r="C156" s="123"/>
      <c r="D156" s="123"/>
      <c r="M156" s="115"/>
      <c r="N156" s="115"/>
      <c r="O156" s="26">
        <v>45809</v>
      </c>
      <c r="P156" s="13" t="s">
        <v>148</v>
      </c>
      <c r="Q156" s="115"/>
      <c r="R156" s="115"/>
      <c r="S156" s="115"/>
      <c r="T156" s="115"/>
      <c r="U156" s="115"/>
      <c r="V156" s="115"/>
      <c r="W156" s="115"/>
      <c r="X156" s="115"/>
      <c r="Y156" s="115"/>
      <c r="Z156" s="25"/>
      <c r="AA156" s="13"/>
      <c r="AF156" s="116"/>
      <c r="AG156" s="123"/>
      <c r="AH156" s="123"/>
      <c r="AI156" s="123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25"/>
      <c r="AY156" s="13"/>
      <c r="BB156" s="114"/>
    </row>
    <row r="157" spans="1:54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115"/>
      <c r="O157" s="26">
        <v>45809</v>
      </c>
      <c r="P157" s="13" t="s">
        <v>146</v>
      </c>
      <c r="Q157" s="115"/>
      <c r="R157" s="115"/>
      <c r="S157" s="115"/>
      <c r="T157" s="115"/>
      <c r="U157" s="115"/>
      <c r="V157" s="115"/>
      <c r="W157" s="115"/>
      <c r="X157" s="115"/>
      <c r="Y157" s="115"/>
      <c r="Z157" s="25"/>
      <c r="AA157" s="13"/>
      <c r="AF157" s="116"/>
      <c r="AG157" s="123"/>
      <c r="AH157" s="123"/>
      <c r="AI157" s="123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25"/>
      <c r="AY157" s="13"/>
      <c r="BB157" s="114"/>
    </row>
    <row r="158" spans="1:54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115"/>
      <c r="O158" s="26">
        <v>45809</v>
      </c>
      <c r="P158" s="13" t="s">
        <v>147</v>
      </c>
      <c r="Q158" s="115"/>
      <c r="R158" s="115"/>
      <c r="S158" s="115"/>
      <c r="T158" s="115"/>
      <c r="U158" s="115"/>
      <c r="V158" s="115"/>
      <c r="W158" s="115"/>
      <c r="X158" s="115"/>
      <c r="Y158" s="115"/>
      <c r="Z158" s="25"/>
      <c r="AA158" s="13"/>
      <c r="AF158" s="116"/>
      <c r="AG158" s="123"/>
      <c r="AH158" s="123"/>
      <c r="AI158" s="123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25"/>
      <c r="AY158" s="13"/>
      <c r="BB158" s="114"/>
    </row>
    <row r="159" spans="1:54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115" t="s">
        <v>409</v>
      </c>
      <c r="O159" s="17">
        <f>SUBTOTAL(3,O139:O158)</f>
        <v>20</v>
      </c>
      <c r="P159" s="13">
        <f>SUBTOTAL(3,P139:P158)</f>
        <v>20</v>
      </c>
      <c r="Q159" s="115"/>
      <c r="R159" s="115"/>
      <c r="S159" s="115"/>
      <c r="T159" s="115"/>
      <c r="U159" s="115"/>
      <c r="V159" s="115"/>
      <c r="W159" s="115"/>
      <c r="X159" s="115"/>
      <c r="Y159" s="115"/>
      <c r="Z159" s="25"/>
      <c r="AA159" s="13"/>
      <c r="AF159" s="116"/>
      <c r="AG159" s="123"/>
      <c r="AH159" s="123"/>
      <c r="AI159" s="123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25"/>
      <c r="AY159" s="13"/>
      <c r="BB159" s="114"/>
    </row>
    <row r="160" spans="1:54" ht="19.5" x14ac:dyDescent="0.4">
      <c r="A160" s="117"/>
      <c r="B160" s="123"/>
      <c r="C160" s="123"/>
      <c r="D160" s="123"/>
      <c r="O160" s="26">
        <v>45810</v>
      </c>
      <c r="P160" s="13" t="s">
        <v>147</v>
      </c>
      <c r="Q160" s="115"/>
      <c r="R160" s="115"/>
      <c r="S160" s="115"/>
      <c r="T160" s="115"/>
      <c r="U160" s="115"/>
      <c r="V160" s="115"/>
      <c r="W160" s="115"/>
      <c r="X160" s="115"/>
      <c r="Y160" s="115"/>
      <c r="Z160" s="25">
        <v>45677</v>
      </c>
      <c r="AA160" s="13" t="s">
        <v>147</v>
      </c>
      <c r="AF160" s="116"/>
      <c r="AG160" s="123"/>
      <c r="AH160" s="123"/>
      <c r="AI160" s="123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25"/>
      <c r="AY160" s="13"/>
      <c r="BB160" s="114"/>
    </row>
    <row r="161" spans="1:54" ht="19.5" x14ac:dyDescent="0.4">
      <c r="A161" s="117"/>
      <c r="B161" s="123"/>
      <c r="C161" s="123"/>
      <c r="D161" s="123"/>
      <c r="L161" s="115"/>
      <c r="M161" s="115"/>
      <c r="N161" s="115"/>
      <c r="O161" s="26">
        <v>45810</v>
      </c>
      <c r="P161" s="13" t="s">
        <v>146</v>
      </c>
      <c r="Q161" s="115"/>
      <c r="R161" s="115"/>
      <c r="S161" s="115"/>
      <c r="T161" s="115"/>
      <c r="U161" s="115"/>
      <c r="V161" s="115"/>
      <c r="W161" s="115"/>
      <c r="X161" s="115"/>
      <c r="Y161" s="115"/>
      <c r="Z161" s="25"/>
      <c r="AA161" s="13"/>
      <c r="AF161" s="116"/>
      <c r="AG161" s="123"/>
      <c r="AH161" s="123"/>
      <c r="AI161" s="123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25"/>
      <c r="AY161" s="13"/>
      <c r="BB161" s="114"/>
    </row>
    <row r="162" spans="1:54" ht="19.5" x14ac:dyDescent="0.4">
      <c r="A162" s="117"/>
      <c r="B162" s="123"/>
      <c r="C162" s="123"/>
      <c r="D162" s="123"/>
      <c r="O162" s="26">
        <v>45810</v>
      </c>
      <c r="P162" s="13" t="s">
        <v>146</v>
      </c>
      <c r="Q162" s="115"/>
      <c r="R162" s="115"/>
      <c r="S162" s="115"/>
      <c r="T162" s="115"/>
      <c r="U162" s="115"/>
      <c r="V162" s="115"/>
      <c r="W162" s="115"/>
      <c r="X162" s="115"/>
      <c r="Y162" s="115"/>
      <c r="Z162" s="25">
        <v>45677</v>
      </c>
      <c r="AA162" s="25" t="s">
        <v>147</v>
      </c>
      <c r="AF162" s="116"/>
      <c r="AG162" s="123"/>
      <c r="AH162" s="123"/>
      <c r="AI162" s="123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25"/>
      <c r="AY162" s="13"/>
      <c r="BB162" s="114"/>
    </row>
    <row r="163" spans="1:54" ht="19.5" x14ac:dyDescent="0.4">
      <c r="A163" s="117"/>
      <c r="B163" s="123"/>
      <c r="C163" s="123"/>
      <c r="D163" s="123"/>
      <c r="O163" s="26">
        <v>45810</v>
      </c>
      <c r="P163" s="13" t="s">
        <v>146</v>
      </c>
      <c r="Q163" s="115"/>
      <c r="R163" s="115"/>
      <c r="S163" s="115"/>
      <c r="T163" s="115"/>
      <c r="U163" s="115"/>
      <c r="V163" s="115"/>
      <c r="W163" s="115"/>
      <c r="X163" s="115"/>
      <c r="Y163" s="115"/>
      <c r="Z163" s="25"/>
      <c r="AA163" s="25"/>
      <c r="AF163" s="116"/>
      <c r="AG163" s="123"/>
      <c r="AH163" s="123"/>
      <c r="AI163" s="123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25"/>
      <c r="AY163" s="13"/>
      <c r="BB163" s="114"/>
    </row>
    <row r="164" spans="1:54" ht="19.5" x14ac:dyDescent="0.4">
      <c r="A164" s="117"/>
      <c r="B164" s="123"/>
      <c r="C164" s="123"/>
      <c r="D164" s="123"/>
      <c r="G164" s="115"/>
      <c r="H164" s="115"/>
      <c r="I164" s="115"/>
      <c r="J164" s="115"/>
      <c r="K164" s="115"/>
      <c r="L164" s="115"/>
      <c r="M164" s="115"/>
      <c r="N164" s="115"/>
      <c r="O164" s="26">
        <v>45810</v>
      </c>
      <c r="P164" s="13" t="s">
        <v>146</v>
      </c>
      <c r="Q164" s="115"/>
      <c r="R164" s="115"/>
      <c r="S164" s="115"/>
      <c r="T164" s="115"/>
      <c r="U164" s="115"/>
      <c r="V164" s="115"/>
      <c r="W164" s="115"/>
      <c r="X164" s="115"/>
      <c r="Y164" s="115"/>
      <c r="Z164" s="25"/>
      <c r="AA164" s="25"/>
      <c r="AF164" s="116"/>
      <c r="AG164" s="123"/>
      <c r="AH164" s="123"/>
      <c r="AI164" s="123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25"/>
      <c r="AY164" s="13"/>
      <c r="BB164" s="114"/>
    </row>
    <row r="165" spans="1:54" ht="19.5" x14ac:dyDescent="0.4">
      <c r="A165" s="117"/>
      <c r="B165" s="123"/>
      <c r="C165" s="123"/>
      <c r="D165" s="123"/>
      <c r="G165" s="115"/>
      <c r="H165" s="115"/>
      <c r="I165" s="115"/>
      <c r="J165" s="115"/>
      <c r="K165" s="115"/>
      <c r="L165" s="115"/>
      <c r="M165" s="115"/>
      <c r="N165" s="115"/>
      <c r="O165" s="26">
        <v>45810</v>
      </c>
      <c r="P165" s="13" t="s">
        <v>146</v>
      </c>
      <c r="Q165" s="115"/>
      <c r="R165" s="115"/>
      <c r="S165" s="115"/>
      <c r="T165" s="115"/>
      <c r="U165" s="115"/>
      <c r="V165" s="115"/>
      <c r="W165" s="115"/>
      <c r="X165" s="115"/>
      <c r="Y165" s="115"/>
      <c r="Z165" s="25"/>
      <c r="AA165" s="25"/>
      <c r="AF165" s="116"/>
      <c r="AG165" s="123"/>
      <c r="AH165" s="123"/>
      <c r="AI165" s="123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25"/>
      <c r="AY165" s="13"/>
      <c r="BB165" s="114"/>
    </row>
    <row r="166" spans="1:54" ht="19.5" x14ac:dyDescent="0.4">
      <c r="A166" s="117"/>
      <c r="B166" s="123"/>
      <c r="C166" s="123"/>
      <c r="D166" s="123"/>
      <c r="G166" s="115"/>
      <c r="H166" s="115"/>
      <c r="I166" s="115"/>
      <c r="J166" s="115"/>
      <c r="K166" s="115"/>
      <c r="L166" s="115"/>
      <c r="M166" s="115"/>
      <c r="N166" s="115"/>
      <c r="O166" s="26">
        <v>45810</v>
      </c>
      <c r="P166" s="13" t="s">
        <v>146</v>
      </c>
      <c r="Q166" s="115"/>
      <c r="R166" s="115"/>
      <c r="S166" s="115"/>
      <c r="T166" s="115"/>
      <c r="U166" s="115"/>
      <c r="V166" s="115"/>
      <c r="W166" s="115"/>
      <c r="X166" s="115"/>
      <c r="Y166" s="115"/>
      <c r="Z166" s="25"/>
      <c r="AA166" s="25"/>
      <c r="AF166" s="116"/>
      <c r="AG166" s="123"/>
      <c r="AH166" s="123"/>
      <c r="AI166" s="123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25"/>
      <c r="AY166" s="13"/>
      <c r="BB166" s="114"/>
    </row>
    <row r="167" spans="1:54" ht="19.5" x14ac:dyDescent="0.4">
      <c r="A167" s="117"/>
      <c r="B167" s="123"/>
      <c r="C167" s="123"/>
      <c r="D167" s="123"/>
      <c r="G167" s="115"/>
      <c r="H167" s="115"/>
      <c r="I167" s="115"/>
      <c r="J167" s="115"/>
      <c r="K167" s="115"/>
      <c r="L167" s="115"/>
      <c r="M167" s="115"/>
      <c r="N167" s="115" t="s">
        <v>215</v>
      </c>
      <c r="O167" s="17">
        <f>SUBTOTAL(3,O160:O166)</f>
        <v>7</v>
      </c>
      <c r="P167" s="13">
        <f>SUBTOTAL(3,P160:P166)</f>
        <v>7</v>
      </c>
      <c r="Q167" s="115"/>
      <c r="R167" s="115"/>
      <c r="S167" s="115"/>
      <c r="T167" s="115"/>
      <c r="U167" s="115"/>
      <c r="V167" s="115"/>
      <c r="W167" s="115"/>
      <c r="X167" s="115"/>
      <c r="Y167" s="115"/>
      <c r="Z167" s="25"/>
      <c r="AA167" s="25"/>
      <c r="AF167" s="116"/>
      <c r="AG167" s="123"/>
      <c r="AH167" s="123"/>
      <c r="AI167" s="123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25"/>
      <c r="AY167" s="13"/>
      <c r="BB167" s="114"/>
    </row>
    <row r="168" spans="1:54" ht="19.5" x14ac:dyDescent="0.4">
      <c r="A168" s="117"/>
      <c r="B168" s="123"/>
      <c r="C168" s="123"/>
      <c r="D168" s="123"/>
      <c r="O168" s="26">
        <v>45811</v>
      </c>
      <c r="P168" s="13" t="s">
        <v>147</v>
      </c>
      <c r="Q168" s="115"/>
      <c r="R168" s="115"/>
      <c r="S168" s="115"/>
      <c r="T168" s="115"/>
      <c r="U168" s="115"/>
      <c r="V168" s="115"/>
      <c r="W168" s="115"/>
      <c r="X168" s="115"/>
      <c r="Y168" s="115"/>
      <c r="Z168" s="25">
        <v>45678</v>
      </c>
      <c r="AA168" s="13" t="s">
        <v>147</v>
      </c>
      <c r="AF168" s="116"/>
      <c r="AG168" s="123"/>
      <c r="AH168" s="123"/>
      <c r="AI168" s="123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25"/>
      <c r="AY168" s="13"/>
      <c r="BB168" s="114"/>
    </row>
    <row r="169" spans="1:54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115"/>
      <c r="O169" s="26">
        <v>45811</v>
      </c>
      <c r="P169" s="13" t="s">
        <v>147</v>
      </c>
      <c r="Q169" s="115"/>
      <c r="R169" s="115"/>
      <c r="S169" s="115"/>
      <c r="T169" s="115"/>
      <c r="U169" s="115"/>
      <c r="V169" s="115"/>
      <c r="W169" s="115"/>
      <c r="X169" s="115"/>
      <c r="Y169" s="115"/>
      <c r="Z169" s="25"/>
      <c r="AA169" s="13"/>
      <c r="AF169" s="116"/>
      <c r="AG169" s="123"/>
      <c r="AH169" s="123"/>
      <c r="AI169" s="123"/>
      <c r="AN169" s="115"/>
      <c r="AO169" s="115"/>
      <c r="AP169" s="115"/>
      <c r="AQ169" s="115"/>
      <c r="AR169" s="115"/>
      <c r="AS169" s="115"/>
      <c r="AT169" s="115"/>
      <c r="AU169" s="115"/>
      <c r="AV169" s="115"/>
      <c r="AW169" s="115"/>
      <c r="AX169" s="25"/>
      <c r="AY169" s="13"/>
      <c r="BB169" s="114"/>
    </row>
    <row r="170" spans="1:54" ht="19.5" x14ac:dyDescent="0.4">
      <c r="A170" s="117"/>
      <c r="B170" s="123"/>
      <c r="C170" s="123"/>
      <c r="D170" s="123"/>
      <c r="O170" s="26">
        <v>45811</v>
      </c>
      <c r="P170" s="15" t="s">
        <v>146</v>
      </c>
      <c r="Q170" s="115"/>
      <c r="R170" s="115"/>
      <c r="S170" s="115"/>
      <c r="T170" s="115"/>
      <c r="U170" s="115"/>
      <c r="V170" s="115"/>
      <c r="W170" s="115"/>
      <c r="X170" s="115"/>
      <c r="Y170" s="115"/>
      <c r="Z170" s="25">
        <v>45678</v>
      </c>
      <c r="AA170" s="13" t="s">
        <v>146</v>
      </c>
      <c r="AF170" s="116"/>
      <c r="AG170" s="123"/>
      <c r="AH170" s="123"/>
      <c r="AI170" s="123"/>
      <c r="AN170" s="115"/>
      <c r="AO170" s="115"/>
      <c r="AP170" s="115"/>
      <c r="AQ170" s="115"/>
      <c r="AR170" s="115"/>
      <c r="AS170" s="115"/>
      <c r="AT170" s="115"/>
      <c r="AU170" s="115"/>
      <c r="AV170" s="115"/>
      <c r="AW170" s="115"/>
      <c r="AX170" s="25"/>
      <c r="AY170" s="13"/>
      <c r="BB170" s="114"/>
    </row>
    <row r="171" spans="1:54" ht="19.5" x14ac:dyDescent="0.4">
      <c r="A171" s="117"/>
      <c r="B171" s="123"/>
      <c r="C171" s="123"/>
      <c r="D171" s="123"/>
      <c r="I171" s="115"/>
      <c r="J171" s="115"/>
      <c r="K171" s="115"/>
      <c r="L171" s="115"/>
      <c r="M171" s="115"/>
      <c r="N171" s="115"/>
      <c r="O171" s="26">
        <v>45811</v>
      </c>
      <c r="P171" s="15" t="s">
        <v>146</v>
      </c>
      <c r="Q171" s="115"/>
      <c r="R171" s="115"/>
      <c r="S171" s="115"/>
      <c r="T171" s="115"/>
      <c r="U171" s="115"/>
      <c r="V171" s="115"/>
      <c r="W171" s="115"/>
      <c r="X171" s="115"/>
      <c r="Y171" s="115"/>
      <c r="Z171" s="25"/>
      <c r="AA171" s="13"/>
      <c r="AF171" s="116"/>
      <c r="AG171" s="123"/>
      <c r="AH171" s="123"/>
      <c r="AI171" s="123"/>
      <c r="AN171" s="115"/>
      <c r="AO171" s="115"/>
      <c r="AP171" s="115"/>
      <c r="AQ171" s="115"/>
      <c r="AR171" s="115"/>
      <c r="AS171" s="115"/>
      <c r="AT171" s="115"/>
      <c r="AU171" s="115"/>
      <c r="AV171" s="115"/>
      <c r="AW171" s="115"/>
      <c r="AX171" s="25"/>
      <c r="AY171" s="13"/>
      <c r="BB171" s="114"/>
    </row>
    <row r="172" spans="1:54" ht="19.5" x14ac:dyDescent="0.4">
      <c r="A172" s="117"/>
      <c r="B172" s="123"/>
      <c r="C172" s="123"/>
      <c r="D172" s="123"/>
      <c r="I172" s="115"/>
      <c r="J172" s="115"/>
      <c r="K172" s="115"/>
      <c r="L172" s="115"/>
      <c r="M172" s="115"/>
      <c r="N172" s="115"/>
      <c r="O172" s="26">
        <v>45811</v>
      </c>
      <c r="P172" s="13" t="s">
        <v>146</v>
      </c>
      <c r="Q172" s="115"/>
      <c r="R172" s="115"/>
      <c r="S172" s="115"/>
      <c r="T172" s="115"/>
      <c r="U172" s="115"/>
      <c r="V172" s="115"/>
      <c r="W172" s="115"/>
      <c r="X172" s="115"/>
      <c r="Y172" s="115"/>
      <c r="Z172" s="25"/>
      <c r="AA172" s="13"/>
      <c r="AF172" s="116"/>
      <c r="AG172" s="123"/>
      <c r="AH172" s="123"/>
      <c r="AI172" s="123"/>
      <c r="AN172" s="115"/>
      <c r="AO172" s="115"/>
      <c r="AP172" s="115"/>
      <c r="AQ172" s="115"/>
      <c r="AR172" s="115"/>
      <c r="AS172" s="115"/>
      <c r="AT172" s="115"/>
      <c r="AU172" s="115"/>
      <c r="AV172" s="115"/>
      <c r="AW172" s="115"/>
      <c r="AX172" s="25"/>
      <c r="AY172" s="13"/>
      <c r="BB172" s="114"/>
    </row>
    <row r="173" spans="1:54" ht="19.5" x14ac:dyDescent="0.4">
      <c r="A173" s="117"/>
      <c r="B173" s="123"/>
      <c r="C173" s="123"/>
      <c r="D173" s="123"/>
      <c r="I173" s="115"/>
      <c r="J173" s="115"/>
      <c r="K173" s="115"/>
      <c r="L173" s="115"/>
      <c r="M173" s="115"/>
      <c r="N173" s="115"/>
      <c r="O173" s="26">
        <v>45811</v>
      </c>
      <c r="P173" s="13" t="s">
        <v>146</v>
      </c>
      <c r="Q173" s="115"/>
      <c r="R173" s="115"/>
      <c r="S173" s="115"/>
      <c r="T173" s="115"/>
      <c r="U173" s="115"/>
      <c r="V173" s="115"/>
      <c r="W173" s="115"/>
      <c r="X173" s="115"/>
      <c r="Y173" s="115"/>
      <c r="Z173" s="25"/>
      <c r="AA173" s="13"/>
      <c r="AF173" s="116"/>
      <c r="AG173" s="123"/>
      <c r="AH173" s="123"/>
      <c r="AI173" s="123"/>
      <c r="AN173" s="115"/>
      <c r="AO173" s="115"/>
      <c r="AP173" s="115"/>
      <c r="AQ173" s="115"/>
      <c r="AR173" s="115"/>
      <c r="AS173" s="115"/>
      <c r="AT173" s="115"/>
      <c r="AU173" s="115"/>
      <c r="AV173" s="115"/>
      <c r="AW173" s="115"/>
      <c r="AX173" s="25"/>
      <c r="AY173" s="13"/>
      <c r="BB173" s="114"/>
    </row>
    <row r="174" spans="1:54" ht="19.5" x14ac:dyDescent="0.4">
      <c r="A174" s="117"/>
      <c r="B174" s="123"/>
      <c r="C174" s="123"/>
      <c r="D174" s="123"/>
      <c r="I174" s="115"/>
      <c r="J174" s="115"/>
      <c r="K174" s="115"/>
      <c r="L174" s="115"/>
      <c r="M174" s="115"/>
      <c r="N174" s="115"/>
      <c r="O174" s="26">
        <v>45811</v>
      </c>
      <c r="P174" s="13" t="s">
        <v>146</v>
      </c>
      <c r="Q174" s="115"/>
      <c r="R174" s="115"/>
      <c r="S174" s="115"/>
      <c r="T174" s="115"/>
      <c r="U174" s="115"/>
      <c r="V174" s="115"/>
      <c r="W174" s="115"/>
      <c r="X174" s="115"/>
      <c r="Y174" s="115"/>
      <c r="Z174" s="25"/>
      <c r="AA174" s="13"/>
      <c r="AF174" s="116"/>
      <c r="AG174" s="123"/>
      <c r="AH174" s="123"/>
      <c r="AI174" s="123"/>
      <c r="AN174" s="115"/>
      <c r="AO174" s="115"/>
      <c r="AP174" s="115"/>
      <c r="AQ174" s="115"/>
      <c r="AR174" s="115"/>
      <c r="AS174" s="115"/>
      <c r="AT174" s="115"/>
      <c r="AU174" s="115"/>
      <c r="AV174" s="115"/>
      <c r="AW174" s="115"/>
      <c r="AX174" s="25"/>
      <c r="AY174" s="13"/>
      <c r="BB174" s="114"/>
    </row>
    <row r="175" spans="1:54" ht="19.5" x14ac:dyDescent="0.4">
      <c r="A175" s="117"/>
      <c r="B175" s="123"/>
      <c r="C175" s="123"/>
      <c r="D175" s="123"/>
      <c r="O175" s="26">
        <v>45811</v>
      </c>
      <c r="P175" s="13" t="s">
        <v>146</v>
      </c>
      <c r="Q175" s="115"/>
      <c r="R175" s="115"/>
      <c r="S175" s="115"/>
      <c r="T175" s="115"/>
      <c r="U175" s="115"/>
      <c r="V175" s="115"/>
      <c r="W175" s="115"/>
      <c r="X175" s="115"/>
      <c r="Y175" s="115"/>
      <c r="Z175" s="25">
        <v>45678</v>
      </c>
      <c r="AA175" s="13" t="s">
        <v>148</v>
      </c>
      <c r="AF175" s="116"/>
      <c r="AG175" s="123"/>
      <c r="AH175" s="123"/>
      <c r="AI175" s="123"/>
      <c r="AN175" s="115"/>
      <c r="AO175" s="115"/>
      <c r="AP175" s="115"/>
      <c r="AQ175" s="115"/>
      <c r="AR175" s="115"/>
      <c r="AS175" s="115"/>
      <c r="AT175" s="115"/>
      <c r="AU175" s="115"/>
      <c r="AV175" s="115"/>
      <c r="AW175" s="115"/>
      <c r="AX175" s="25"/>
      <c r="AY175" s="13"/>
      <c r="BB175" s="114"/>
    </row>
    <row r="176" spans="1:54" ht="19.5" x14ac:dyDescent="0.4">
      <c r="A176" s="117"/>
      <c r="B176" s="123"/>
      <c r="C176" s="123"/>
      <c r="D176" s="123"/>
      <c r="K176" s="115"/>
      <c r="L176" s="115"/>
      <c r="M176" s="115"/>
      <c r="N176" s="115"/>
      <c r="O176" s="26">
        <v>45811</v>
      </c>
      <c r="P176" s="13" t="s">
        <v>146</v>
      </c>
      <c r="Q176" s="115"/>
      <c r="R176" s="115"/>
      <c r="S176" s="115"/>
      <c r="T176" s="115"/>
      <c r="U176" s="115"/>
      <c r="V176" s="115"/>
      <c r="W176" s="115"/>
      <c r="X176" s="115"/>
      <c r="Y176" s="115"/>
      <c r="Z176" s="25"/>
      <c r="AA176" s="13"/>
      <c r="AF176" s="116"/>
      <c r="AG176" s="123"/>
      <c r="AH176" s="123"/>
      <c r="AI176" s="123"/>
      <c r="AN176" s="115"/>
      <c r="AO176" s="115"/>
      <c r="AP176" s="115"/>
      <c r="AQ176" s="115"/>
      <c r="AR176" s="115"/>
      <c r="AS176" s="115"/>
      <c r="AT176" s="115"/>
      <c r="AU176" s="115"/>
      <c r="AV176" s="115"/>
      <c r="AW176" s="115"/>
      <c r="AX176" s="25"/>
      <c r="AY176" s="13"/>
      <c r="BB176" s="114"/>
    </row>
    <row r="177" spans="1:54" ht="19.5" x14ac:dyDescent="0.4">
      <c r="A177" s="117"/>
      <c r="B177" s="123"/>
      <c r="C177" s="123"/>
      <c r="D177" s="123"/>
      <c r="K177" s="115"/>
      <c r="L177" s="115"/>
      <c r="M177" s="115"/>
      <c r="N177" s="115" t="s">
        <v>410</v>
      </c>
      <c r="O177" s="17">
        <f>SUBTOTAL(3,O168:O176)</f>
        <v>9</v>
      </c>
      <c r="P177" s="13">
        <f>SUBTOTAL(3,P168:P176)</f>
        <v>9</v>
      </c>
      <c r="Q177" s="115"/>
      <c r="R177" s="115"/>
      <c r="S177" s="115"/>
      <c r="T177" s="115"/>
      <c r="U177" s="115"/>
      <c r="V177" s="115"/>
      <c r="W177" s="115"/>
      <c r="X177" s="115"/>
      <c r="Y177" s="115"/>
      <c r="Z177" s="25"/>
      <c r="AA177" s="13"/>
      <c r="AF177" s="116"/>
      <c r="AG177" s="123"/>
      <c r="AH177" s="123"/>
      <c r="AI177" s="123"/>
      <c r="AN177" s="115"/>
      <c r="AO177" s="115"/>
      <c r="AP177" s="115"/>
      <c r="AQ177" s="115"/>
      <c r="AR177" s="115"/>
      <c r="AS177" s="115"/>
      <c r="AT177" s="115"/>
      <c r="AU177" s="115"/>
      <c r="AV177" s="115"/>
      <c r="AW177" s="115"/>
      <c r="AX177" s="25"/>
      <c r="AY177" s="13"/>
      <c r="BB177" s="114"/>
    </row>
    <row r="178" spans="1:54" ht="19.5" x14ac:dyDescent="0.4">
      <c r="A178" s="117"/>
      <c r="B178" s="123"/>
      <c r="C178" s="123"/>
      <c r="D178" s="123"/>
      <c r="G178" s="115"/>
      <c r="H178" s="115"/>
      <c r="I178" s="115"/>
      <c r="J178" s="115"/>
      <c r="K178" s="115"/>
      <c r="L178" s="115"/>
      <c r="M178" s="115"/>
      <c r="N178" s="115"/>
      <c r="O178" s="26">
        <v>45812</v>
      </c>
      <c r="P178" s="134" t="s">
        <v>147</v>
      </c>
      <c r="Q178" s="115"/>
      <c r="R178" s="115"/>
      <c r="S178" s="115"/>
      <c r="T178" s="115"/>
      <c r="U178" s="115"/>
      <c r="V178" s="115"/>
      <c r="W178" s="115"/>
      <c r="X178" s="115"/>
      <c r="Y178" s="115"/>
      <c r="Z178" s="25"/>
      <c r="AA178" s="13"/>
      <c r="AF178" s="116"/>
      <c r="AG178" s="123"/>
      <c r="AH178" s="123"/>
      <c r="AI178" s="123"/>
      <c r="AN178" s="115"/>
      <c r="AO178" s="115"/>
      <c r="AP178" s="115"/>
      <c r="AQ178" s="115"/>
      <c r="AR178" s="115"/>
      <c r="AS178" s="115"/>
      <c r="AT178" s="115"/>
      <c r="AU178" s="115"/>
      <c r="AV178" s="115"/>
      <c r="AW178" s="115"/>
      <c r="AX178" s="25"/>
      <c r="AY178" s="13"/>
      <c r="BB178" s="114"/>
    </row>
    <row r="179" spans="1:54" ht="19.5" x14ac:dyDescent="0.4">
      <c r="A179" s="117"/>
      <c r="B179" s="123"/>
      <c r="C179" s="123"/>
      <c r="D179" s="123"/>
      <c r="G179" s="115"/>
      <c r="H179" s="115"/>
      <c r="I179" s="115"/>
      <c r="J179" s="115"/>
      <c r="K179" s="115"/>
      <c r="L179" s="115"/>
      <c r="M179" s="115"/>
      <c r="N179" s="115"/>
      <c r="O179" s="26">
        <v>45812</v>
      </c>
      <c r="P179" s="13" t="s">
        <v>146</v>
      </c>
      <c r="Q179" s="115"/>
      <c r="R179" s="115"/>
      <c r="S179" s="115"/>
      <c r="T179" s="115"/>
      <c r="U179" s="115"/>
      <c r="V179" s="115"/>
      <c r="W179" s="115"/>
      <c r="X179" s="115"/>
      <c r="Y179" s="115"/>
      <c r="Z179" s="25"/>
      <c r="AA179" s="13"/>
      <c r="AF179" s="116"/>
      <c r="AG179" s="123"/>
      <c r="AH179" s="123"/>
      <c r="AI179" s="123"/>
      <c r="AN179" s="115"/>
      <c r="AO179" s="115"/>
      <c r="AP179" s="115"/>
      <c r="AQ179" s="115"/>
      <c r="AR179" s="115"/>
      <c r="AS179" s="115"/>
      <c r="AT179" s="115"/>
      <c r="AU179" s="115"/>
      <c r="AV179" s="115"/>
      <c r="AW179" s="115"/>
      <c r="AX179" s="25"/>
      <c r="AY179" s="13"/>
      <c r="BB179" s="114"/>
    </row>
    <row r="180" spans="1:54" ht="19.5" x14ac:dyDescent="0.4">
      <c r="A180" s="117"/>
      <c r="B180" s="123"/>
      <c r="C180" s="123"/>
      <c r="D180" s="123"/>
      <c r="G180" s="115"/>
      <c r="H180" s="115"/>
      <c r="I180" s="115"/>
      <c r="J180" s="115"/>
      <c r="K180" s="115"/>
      <c r="L180" s="115"/>
      <c r="M180" s="115"/>
      <c r="N180" s="115"/>
      <c r="O180" s="26">
        <v>45812</v>
      </c>
      <c r="P180" s="13" t="s">
        <v>146</v>
      </c>
      <c r="Q180" s="115"/>
      <c r="R180" s="115"/>
      <c r="S180" s="115"/>
      <c r="T180" s="115"/>
      <c r="U180" s="115"/>
      <c r="V180" s="115"/>
      <c r="W180" s="115"/>
      <c r="X180" s="115"/>
      <c r="Y180" s="115"/>
      <c r="Z180" s="25"/>
      <c r="AA180" s="13"/>
      <c r="AF180" s="116"/>
      <c r="AG180" s="123"/>
      <c r="AH180" s="123"/>
      <c r="AI180" s="123"/>
      <c r="AN180" s="115"/>
      <c r="AO180" s="115"/>
      <c r="AP180" s="115"/>
      <c r="AQ180" s="115"/>
      <c r="AR180" s="115"/>
      <c r="AS180" s="115"/>
      <c r="AT180" s="115"/>
      <c r="AU180" s="115"/>
      <c r="AV180" s="115"/>
      <c r="AW180" s="115"/>
      <c r="AX180" s="25"/>
      <c r="AY180" s="13"/>
      <c r="BB180" s="114"/>
    </row>
    <row r="181" spans="1:54" ht="19.5" x14ac:dyDescent="0.4">
      <c r="A181" s="117"/>
      <c r="B181" s="123"/>
      <c r="C181" s="123"/>
      <c r="D181" s="123"/>
      <c r="O181" s="26">
        <v>45812</v>
      </c>
      <c r="P181" s="13" t="s">
        <v>146</v>
      </c>
      <c r="Q181" s="115"/>
      <c r="R181" s="115"/>
      <c r="S181" s="115"/>
      <c r="T181" s="115"/>
      <c r="U181" s="115"/>
      <c r="V181" s="115"/>
      <c r="W181" s="115"/>
      <c r="X181" s="115"/>
      <c r="Y181" s="115"/>
      <c r="Z181" s="25">
        <v>45678</v>
      </c>
      <c r="AA181" s="13" t="s">
        <v>148</v>
      </c>
      <c r="AF181" s="116"/>
      <c r="AG181" s="123"/>
      <c r="AH181" s="123"/>
      <c r="AI181" s="123"/>
      <c r="AN181" s="115"/>
      <c r="AO181" s="115"/>
      <c r="AP181" s="115"/>
      <c r="AQ181" s="115"/>
      <c r="AR181" s="115"/>
      <c r="AS181" s="115"/>
      <c r="AT181" s="115"/>
      <c r="AU181" s="115"/>
      <c r="AV181" s="115"/>
      <c r="AW181" s="115"/>
      <c r="AX181" s="25"/>
      <c r="AY181" s="13"/>
      <c r="BB181" s="114"/>
    </row>
    <row r="182" spans="1:54" ht="19.5" x14ac:dyDescent="0.4">
      <c r="A182" s="117"/>
      <c r="B182" s="123"/>
      <c r="C182" s="123"/>
      <c r="D182" s="123"/>
      <c r="O182" s="26">
        <v>45812</v>
      </c>
      <c r="P182" s="13" t="s">
        <v>148</v>
      </c>
      <c r="Q182" s="115"/>
      <c r="R182" s="115"/>
      <c r="S182" s="115"/>
      <c r="T182" s="115"/>
      <c r="U182" s="115"/>
      <c r="V182" s="115"/>
      <c r="W182" s="115"/>
      <c r="X182" s="115"/>
      <c r="Y182" s="115"/>
      <c r="Z182" s="25">
        <v>45678</v>
      </c>
      <c r="AA182" s="13" t="s">
        <v>148</v>
      </c>
      <c r="AF182" s="116"/>
      <c r="AG182" s="123"/>
      <c r="AH182" s="123"/>
      <c r="AI182" s="123"/>
      <c r="AN182" s="115"/>
      <c r="AO182" s="115"/>
      <c r="AP182" s="115"/>
      <c r="AQ182" s="115"/>
      <c r="AR182" s="115"/>
      <c r="AS182" s="115"/>
      <c r="AT182" s="115"/>
      <c r="AU182" s="115"/>
      <c r="AV182" s="115"/>
      <c r="AW182" s="115"/>
      <c r="AX182" s="25"/>
      <c r="AY182" s="13"/>
      <c r="BB182" s="114"/>
    </row>
    <row r="183" spans="1:54" ht="19.5" x14ac:dyDescent="0.4">
      <c r="A183" s="117"/>
      <c r="B183" s="123"/>
      <c r="C183" s="123"/>
      <c r="D183" s="123"/>
      <c r="L183" s="115"/>
      <c r="M183" s="115"/>
      <c r="N183" s="115"/>
      <c r="O183" s="26">
        <v>45812</v>
      </c>
      <c r="P183" s="13" t="s">
        <v>146</v>
      </c>
      <c r="Q183" s="115"/>
      <c r="R183" s="115"/>
      <c r="S183" s="115"/>
      <c r="T183" s="115"/>
      <c r="U183" s="115"/>
      <c r="V183" s="115"/>
      <c r="W183" s="115"/>
      <c r="X183" s="115"/>
      <c r="Y183" s="115"/>
      <c r="Z183" s="25"/>
      <c r="AA183" s="13"/>
      <c r="AF183" s="116"/>
      <c r="AG183" s="123"/>
      <c r="AH183" s="123"/>
      <c r="AI183" s="123"/>
      <c r="AN183" s="115"/>
      <c r="AO183" s="115"/>
      <c r="AP183" s="115"/>
      <c r="AQ183" s="115"/>
      <c r="AR183" s="115"/>
      <c r="AS183" s="115"/>
      <c r="AT183" s="115"/>
      <c r="AU183" s="115"/>
      <c r="AV183" s="115"/>
      <c r="AW183" s="115"/>
      <c r="AX183" s="25"/>
      <c r="AY183" s="13"/>
      <c r="BB183" s="114"/>
    </row>
    <row r="184" spans="1:54" ht="19.5" x14ac:dyDescent="0.4">
      <c r="A184" s="117"/>
      <c r="B184" s="123"/>
      <c r="C184" s="123"/>
      <c r="D184" s="123"/>
      <c r="L184" s="115"/>
      <c r="M184" s="115"/>
      <c r="N184" s="115"/>
      <c r="O184" s="26">
        <v>45812</v>
      </c>
      <c r="P184" s="13" t="s">
        <v>148</v>
      </c>
      <c r="Q184" s="115"/>
      <c r="R184" s="115"/>
      <c r="S184" s="115"/>
      <c r="T184" s="115"/>
      <c r="U184" s="115"/>
      <c r="V184" s="115"/>
      <c r="W184" s="115"/>
      <c r="X184" s="115"/>
      <c r="Y184" s="115"/>
      <c r="Z184" s="25"/>
      <c r="AA184" s="13"/>
      <c r="AF184" s="116"/>
      <c r="AG184" s="123"/>
      <c r="AH184" s="123"/>
      <c r="AI184" s="123"/>
      <c r="AN184" s="115"/>
      <c r="AO184" s="115"/>
      <c r="AP184" s="115"/>
      <c r="AQ184" s="115"/>
      <c r="AR184" s="115"/>
      <c r="AS184" s="115"/>
      <c r="AT184" s="115"/>
      <c r="AU184" s="115"/>
      <c r="AV184" s="115"/>
      <c r="AW184" s="115"/>
      <c r="AX184" s="25"/>
      <c r="AY184" s="13"/>
      <c r="BB184" s="114"/>
    </row>
    <row r="185" spans="1:54" ht="19.5" x14ac:dyDescent="0.4">
      <c r="A185" s="117"/>
      <c r="B185" s="123"/>
      <c r="C185" s="123"/>
      <c r="D185" s="123"/>
      <c r="J185" s="115"/>
      <c r="K185" s="115"/>
      <c r="L185" s="115"/>
      <c r="M185" s="115"/>
      <c r="N185" s="115"/>
      <c r="O185" s="26">
        <v>45812</v>
      </c>
      <c r="P185" s="13" t="s">
        <v>146</v>
      </c>
      <c r="Q185" s="115"/>
      <c r="R185" s="115"/>
      <c r="S185" s="115"/>
      <c r="T185" s="115"/>
      <c r="U185" s="115"/>
      <c r="V185" s="115"/>
      <c r="W185" s="115"/>
      <c r="X185" s="115"/>
      <c r="Y185" s="115"/>
      <c r="Z185" s="25"/>
      <c r="AA185" s="13"/>
      <c r="AF185" s="116"/>
      <c r="AG185" s="123"/>
      <c r="AH185" s="123"/>
      <c r="AI185" s="123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25"/>
      <c r="AY185" s="13"/>
      <c r="BB185" s="114"/>
    </row>
    <row r="186" spans="1:54" ht="19.5" x14ac:dyDescent="0.4">
      <c r="A186" s="117"/>
      <c r="B186" s="123"/>
      <c r="C186" s="123"/>
      <c r="D186" s="123"/>
      <c r="J186" s="115"/>
      <c r="K186" s="115"/>
      <c r="L186" s="115"/>
      <c r="M186" s="115"/>
      <c r="N186" s="115"/>
      <c r="O186" s="26">
        <v>45812</v>
      </c>
      <c r="P186" s="13" t="s">
        <v>147</v>
      </c>
      <c r="Q186" s="115"/>
      <c r="R186" s="115"/>
      <c r="S186" s="115"/>
      <c r="T186" s="115"/>
      <c r="U186" s="115"/>
      <c r="V186" s="115"/>
      <c r="W186" s="115"/>
      <c r="X186" s="115"/>
      <c r="Y186" s="115"/>
      <c r="Z186" s="25"/>
      <c r="AA186" s="13"/>
      <c r="AF186" s="116"/>
      <c r="AG186" s="123"/>
      <c r="AH186" s="123"/>
      <c r="AI186" s="123"/>
      <c r="AN186" s="115"/>
      <c r="AO186" s="115"/>
      <c r="AP186" s="115"/>
      <c r="AQ186" s="115"/>
      <c r="AR186" s="115"/>
      <c r="AS186" s="115"/>
      <c r="AT186" s="115"/>
      <c r="AU186" s="115"/>
      <c r="AV186" s="115"/>
      <c r="AW186" s="115"/>
      <c r="AX186" s="25"/>
      <c r="AY186" s="13"/>
      <c r="BB186" s="114"/>
    </row>
    <row r="187" spans="1:54" ht="19.5" x14ac:dyDescent="0.4">
      <c r="A187" s="117"/>
      <c r="B187" s="123"/>
      <c r="C187" s="123"/>
      <c r="D187" s="123"/>
      <c r="O187" s="26">
        <v>45812</v>
      </c>
      <c r="P187" s="13" t="s">
        <v>147</v>
      </c>
      <c r="Q187" s="115"/>
      <c r="R187" s="115"/>
      <c r="S187" s="115"/>
      <c r="T187" s="115"/>
      <c r="U187" s="115"/>
      <c r="V187" s="115"/>
      <c r="W187" s="115"/>
      <c r="X187" s="115"/>
      <c r="Y187" s="115"/>
      <c r="Z187" s="25">
        <v>45679</v>
      </c>
      <c r="AA187" s="15" t="s">
        <v>146</v>
      </c>
      <c r="AF187" s="116"/>
      <c r="AG187" s="123"/>
      <c r="AH187" s="123"/>
      <c r="AI187" s="123"/>
      <c r="AN187" s="115"/>
      <c r="AO187" s="115"/>
      <c r="AP187" s="115"/>
      <c r="AQ187" s="115"/>
      <c r="AR187" s="115"/>
      <c r="AS187" s="115"/>
      <c r="AT187" s="115"/>
      <c r="AU187" s="115"/>
      <c r="AV187" s="115"/>
      <c r="AW187" s="115"/>
      <c r="AX187" s="25"/>
      <c r="AY187" s="13"/>
      <c r="BB187" s="114"/>
    </row>
    <row r="188" spans="1:54" ht="19.5" x14ac:dyDescent="0.4">
      <c r="A188" s="117"/>
      <c r="B188" s="123"/>
      <c r="C188" s="123"/>
      <c r="D188" s="123"/>
      <c r="M188" s="115"/>
      <c r="N188" s="115"/>
      <c r="O188" s="26">
        <v>45812</v>
      </c>
      <c r="P188" s="13" t="s">
        <v>146</v>
      </c>
      <c r="Q188" s="115"/>
      <c r="R188" s="115"/>
      <c r="S188" s="115"/>
      <c r="T188" s="115"/>
      <c r="U188" s="115"/>
      <c r="V188" s="115"/>
      <c r="W188" s="115"/>
      <c r="X188" s="115"/>
      <c r="Y188" s="115"/>
      <c r="Z188" s="25"/>
      <c r="AA188" s="15"/>
      <c r="AF188" s="116"/>
      <c r="AG188" s="123"/>
      <c r="AH188" s="123"/>
      <c r="AI188" s="123"/>
      <c r="AN188" s="115"/>
      <c r="AO188" s="115"/>
      <c r="AP188" s="115"/>
      <c r="AQ188" s="115"/>
      <c r="AR188" s="115"/>
      <c r="AS188" s="115"/>
      <c r="AT188" s="115"/>
      <c r="AU188" s="115"/>
      <c r="AV188" s="115"/>
      <c r="AW188" s="115"/>
      <c r="AX188" s="25"/>
      <c r="AY188" s="13"/>
      <c r="BB188" s="114"/>
    </row>
    <row r="189" spans="1:54" ht="19.5" x14ac:dyDescent="0.4">
      <c r="A189" s="117"/>
      <c r="B189" s="123"/>
      <c r="C189" s="123"/>
      <c r="D189" s="123"/>
      <c r="M189" s="115"/>
      <c r="N189" s="115" t="s">
        <v>411</v>
      </c>
      <c r="O189" s="17">
        <f>SUBTOTAL(3,O178:O188)</f>
        <v>11</v>
      </c>
      <c r="P189" s="13">
        <f>SUBTOTAL(3,P178:P188)</f>
        <v>11</v>
      </c>
      <c r="Q189" s="115"/>
      <c r="R189" s="115"/>
      <c r="S189" s="115"/>
      <c r="T189" s="115"/>
      <c r="U189" s="115"/>
      <c r="V189" s="115"/>
      <c r="W189" s="115"/>
      <c r="X189" s="115"/>
      <c r="Y189" s="115"/>
      <c r="Z189" s="25"/>
      <c r="AA189" s="15"/>
      <c r="AF189" s="116"/>
      <c r="AG189" s="123"/>
      <c r="AH189" s="123"/>
      <c r="AI189" s="123"/>
      <c r="AN189" s="115"/>
      <c r="AO189" s="115"/>
      <c r="AP189" s="115"/>
      <c r="AQ189" s="115"/>
      <c r="AR189" s="115"/>
      <c r="AS189" s="115"/>
      <c r="AT189" s="115"/>
      <c r="AU189" s="115"/>
      <c r="AV189" s="115"/>
      <c r="AW189" s="115"/>
      <c r="AX189" s="25"/>
      <c r="AY189" s="13"/>
      <c r="BB189" s="114"/>
    </row>
    <row r="190" spans="1:54" ht="19.5" x14ac:dyDescent="0.4">
      <c r="A190" s="117"/>
      <c r="B190" s="123"/>
      <c r="C190" s="123"/>
      <c r="D190" s="123"/>
      <c r="O190" s="26">
        <v>45815</v>
      </c>
      <c r="P190" s="13" t="s">
        <v>146</v>
      </c>
      <c r="Q190" s="115"/>
      <c r="R190" s="115"/>
      <c r="S190" s="115"/>
      <c r="T190" s="115"/>
      <c r="U190" s="115"/>
      <c r="V190" s="115"/>
      <c r="W190" s="115"/>
      <c r="X190" s="115"/>
      <c r="Y190" s="115"/>
      <c r="Z190" s="25"/>
      <c r="AA190" s="15"/>
      <c r="AF190" s="116"/>
      <c r="AG190" s="123"/>
      <c r="AH190" s="123"/>
      <c r="AI190" s="123"/>
      <c r="AN190" s="115"/>
      <c r="AO190" s="115"/>
      <c r="AP190" s="115"/>
      <c r="AQ190" s="115"/>
      <c r="AR190" s="115"/>
      <c r="AS190" s="115"/>
      <c r="AT190" s="115"/>
      <c r="AU190" s="115"/>
      <c r="AV190" s="115"/>
      <c r="AW190" s="115"/>
      <c r="AX190" s="25"/>
      <c r="AY190" s="13"/>
      <c r="BB190" s="114"/>
    </row>
    <row r="191" spans="1:54" ht="19.5" x14ac:dyDescent="0.4">
      <c r="A191" s="117"/>
      <c r="B191" s="123"/>
      <c r="C191" s="123"/>
      <c r="D191" s="123"/>
      <c r="M191" s="115"/>
      <c r="N191" s="115"/>
      <c r="O191" s="26">
        <v>45815</v>
      </c>
      <c r="P191" s="13" t="s">
        <v>146</v>
      </c>
      <c r="Q191" s="115"/>
      <c r="R191" s="115"/>
      <c r="S191" s="115"/>
      <c r="T191" s="115"/>
      <c r="U191" s="115"/>
      <c r="V191" s="115"/>
      <c r="W191" s="115"/>
      <c r="X191" s="115"/>
      <c r="Y191" s="115"/>
      <c r="Z191" s="25"/>
      <c r="AA191" s="15"/>
      <c r="AF191" s="116"/>
      <c r="AG191" s="123"/>
      <c r="AH191" s="123"/>
      <c r="AI191" s="123"/>
      <c r="AN191" s="115"/>
      <c r="AO191" s="115"/>
      <c r="AP191" s="115"/>
      <c r="AQ191" s="115"/>
      <c r="AR191" s="115"/>
      <c r="AS191" s="115"/>
      <c r="AT191" s="115"/>
      <c r="AU191" s="115"/>
      <c r="AV191" s="115"/>
      <c r="AW191" s="115"/>
      <c r="AX191" s="25"/>
      <c r="AY191" s="13"/>
      <c r="BB191" s="114"/>
    </row>
    <row r="192" spans="1:54" ht="19.5" x14ac:dyDescent="0.4">
      <c r="A192" s="117"/>
      <c r="B192" s="123"/>
      <c r="C192" s="123"/>
      <c r="D192" s="123"/>
      <c r="M192" s="115"/>
      <c r="N192" s="115" t="s">
        <v>412</v>
      </c>
      <c r="O192" s="17">
        <f>SUBTOTAL(3,O190:O191)</f>
        <v>2</v>
      </c>
      <c r="P192" s="13">
        <f>SUBTOTAL(3,P190:P191)</f>
        <v>2</v>
      </c>
      <c r="Q192" s="115"/>
      <c r="R192" s="115"/>
      <c r="S192" s="115"/>
      <c r="T192" s="115"/>
      <c r="U192" s="115"/>
      <c r="V192" s="115"/>
      <c r="W192" s="115"/>
      <c r="X192" s="115"/>
      <c r="Y192" s="115"/>
      <c r="Z192" s="25"/>
      <c r="AA192" s="15"/>
      <c r="AF192" s="116"/>
      <c r="AG192" s="123"/>
      <c r="AH192" s="123"/>
      <c r="AI192" s="123"/>
      <c r="AN192" s="115"/>
      <c r="AO192" s="115"/>
      <c r="AP192" s="115"/>
      <c r="AQ192" s="115"/>
      <c r="AR192" s="115"/>
      <c r="AS192" s="115"/>
      <c r="AT192" s="115"/>
      <c r="AU192" s="115"/>
      <c r="AV192" s="115"/>
      <c r="AW192" s="115"/>
      <c r="AX192" s="25"/>
      <c r="AY192" s="13"/>
      <c r="BB192" s="114"/>
    </row>
    <row r="193" spans="1:54" ht="19.5" x14ac:dyDescent="0.4">
      <c r="A193" s="117"/>
      <c r="B193" s="123"/>
      <c r="C193" s="123"/>
      <c r="D193" s="123"/>
      <c r="L193" s="115"/>
      <c r="M193" s="115"/>
      <c r="N193" s="115"/>
      <c r="O193" s="26">
        <v>45816</v>
      </c>
      <c r="P193" s="13" t="s">
        <v>147</v>
      </c>
      <c r="Q193" s="115"/>
      <c r="R193" s="115"/>
      <c r="S193" s="115"/>
      <c r="T193" s="115"/>
      <c r="U193" s="115"/>
      <c r="V193" s="115"/>
      <c r="W193" s="115"/>
      <c r="X193" s="115"/>
      <c r="Y193" s="115"/>
      <c r="Z193" s="25"/>
      <c r="AA193" s="15"/>
      <c r="AF193" s="116"/>
      <c r="AG193" s="123"/>
      <c r="AH193" s="123"/>
      <c r="AI193" s="123"/>
      <c r="AN193" s="115"/>
      <c r="AO193" s="115"/>
      <c r="AP193" s="115"/>
      <c r="AQ193" s="115"/>
      <c r="AR193" s="115"/>
      <c r="AS193" s="115"/>
      <c r="AT193" s="115"/>
      <c r="AU193" s="115"/>
      <c r="AV193" s="115"/>
      <c r="AW193" s="115"/>
      <c r="AX193" s="25"/>
      <c r="AY193" s="13"/>
      <c r="BB193" s="114"/>
    </row>
    <row r="194" spans="1:54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115"/>
      <c r="O194" s="26">
        <v>45816</v>
      </c>
      <c r="P194" s="13" t="s">
        <v>147</v>
      </c>
      <c r="Q194" s="115"/>
      <c r="R194" s="115"/>
      <c r="S194" s="115"/>
      <c r="T194" s="115"/>
      <c r="U194" s="115"/>
      <c r="V194" s="115"/>
      <c r="W194" s="115"/>
      <c r="X194" s="115"/>
      <c r="Y194" s="115"/>
      <c r="Z194" s="25"/>
      <c r="AA194" s="15"/>
      <c r="AF194" s="116"/>
      <c r="AG194" s="123"/>
      <c r="AH194" s="123"/>
      <c r="AI194" s="123"/>
      <c r="AN194" s="115"/>
      <c r="AO194" s="115"/>
      <c r="AP194" s="115"/>
      <c r="AQ194" s="115"/>
      <c r="AR194" s="115"/>
      <c r="AS194" s="115"/>
      <c r="AT194" s="115"/>
      <c r="AU194" s="115"/>
      <c r="AV194" s="115"/>
      <c r="AW194" s="115"/>
      <c r="AX194" s="25"/>
      <c r="AY194" s="13"/>
      <c r="BB194" s="114"/>
    </row>
    <row r="195" spans="1:54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15"/>
      <c r="O195" s="26">
        <v>45816</v>
      </c>
      <c r="P195" s="13" t="s">
        <v>147</v>
      </c>
      <c r="Q195" s="115"/>
      <c r="R195" s="115"/>
      <c r="S195" s="115"/>
      <c r="T195" s="115"/>
      <c r="U195" s="115"/>
      <c r="V195" s="115"/>
      <c r="W195" s="115"/>
      <c r="X195" s="115"/>
      <c r="Y195" s="115"/>
      <c r="Z195" s="25"/>
      <c r="AA195" s="15"/>
      <c r="AF195" s="116"/>
      <c r="AG195" s="123"/>
      <c r="AH195" s="123"/>
      <c r="AI195" s="123"/>
      <c r="AN195" s="115"/>
      <c r="AO195" s="115"/>
      <c r="AP195" s="115"/>
      <c r="AQ195" s="115"/>
      <c r="AR195" s="115"/>
      <c r="AS195" s="115"/>
      <c r="AT195" s="115"/>
      <c r="AU195" s="115"/>
      <c r="AV195" s="115"/>
      <c r="AW195" s="115"/>
      <c r="AX195" s="25"/>
      <c r="AY195" s="13"/>
      <c r="BB195" s="114"/>
    </row>
    <row r="196" spans="1:54" ht="19.5" x14ac:dyDescent="0.4">
      <c r="A196" s="117"/>
      <c r="B196" s="123"/>
      <c r="C196" s="123"/>
      <c r="D196" s="123"/>
      <c r="O196" s="26">
        <v>45816</v>
      </c>
      <c r="P196" s="13" t="s">
        <v>147</v>
      </c>
      <c r="Q196" s="115"/>
      <c r="R196" s="115"/>
      <c r="S196" s="115"/>
      <c r="T196" s="115"/>
      <c r="U196" s="115"/>
      <c r="V196" s="115"/>
      <c r="W196" s="115"/>
      <c r="X196" s="115"/>
      <c r="Y196" s="115"/>
      <c r="Z196" s="25">
        <v>45679</v>
      </c>
      <c r="AA196" s="15" t="s">
        <v>148</v>
      </c>
      <c r="AF196" s="116"/>
      <c r="AG196" s="123"/>
      <c r="AH196" s="123"/>
      <c r="AI196" s="123"/>
      <c r="AN196" s="115"/>
      <c r="AO196" s="115"/>
      <c r="AP196" s="115"/>
      <c r="AQ196" s="115"/>
      <c r="AR196" s="115"/>
      <c r="AS196" s="115"/>
      <c r="AT196" s="115"/>
      <c r="AU196" s="115"/>
      <c r="AV196" s="115"/>
      <c r="AW196" s="115"/>
      <c r="AX196" s="25"/>
      <c r="AY196" s="13"/>
      <c r="BB196" s="114"/>
    </row>
    <row r="197" spans="1:54" ht="19.5" x14ac:dyDescent="0.4">
      <c r="A197" s="117"/>
      <c r="B197" s="123"/>
      <c r="C197" s="123"/>
      <c r="D197" s="123"/>
      <c r="M197" s="115"/>
      <c r="N197" s="115"/>
      <c r="O197" s="26">
        <v>45816</v>
      </c>
      <c r="P197" s="13" t="s">
        <v>147</v>
      </c>
      <c r="Q197" s="115"/>
      <c r="R197" s="115"/>
      <c r="S197" s="115"/>
      <c r="T197" s="115"/>
      <c r="U197" s="115"/>
      <c r="V197" s="115"/>
      <c r="W197" s="115"/>
      <c r="X197" s="115"/>
      <c r="Y197" s="115"/>
      <c r="Z197" s="25"/>
      <c r="AA197" s="13"/>
      <c r="AF197" s="116"/>
      <c r="AG197" s="123"/>
      <c r="AH197" s="123"/>
      <c r="AI197" s="123"/>
      <c r="AN197" s="115"/>
      <c r="AO197" s="115"/>
      <c r="AP197" s="115"/>
      <c r="AQ197" s="115"/>
      <c r="AR197" s="115"/>
      <c r="AS197" s="115"/>
      <c r="AT197" s="115"/>
      <c r="AU197" s="115"/>
      <c r="AV197" s="115"/>
      <c r="AW197" s="115"/>
      <c r="AX197" s="25"/>
      <c r="AY197" s="13"/>
      <c r="BB197" s="114"/>
    </row>
    <row r="198" spans="1:54" ht="19.5" x14ac:dyDescent="0.4">
      <c r="A198" s="117"/>
      <c r="B198" s="123"/>
      <c r="C198" s="123"/>
      <c r="D198" s="123"/>
      <c r="L198" s="115"/>
      <c r="M198" s="115"/>
      <c r="N198" s="115"/>
      <c r="O198" s="26">
        <v>45816</v>
      </c>
      <c r="P198" s="13" t="s">
        <v>146</v>
      </c>
      <c r="Q198" s="115"/>
      <c r="R198" s="115"/>
      <c r="S198" s="115"/>
      <c r="T198" s="115"/>
      <c r="U198" s="115"/>
      <c r="V198" s="115"/>
      <c r="W198" s="115"/>
      <c r="X198" s="115"/>
      <c r="Y198" s="115"/>
      <c r="Z198" s="25"/>
      <c r="AA198" s="13"/>
      <c r="AF198" s="116"/>
      <c r="AG198" s="123"/>
      <c r="AH198" s="123"/>
      <c r="AI198" s="123"/>
      <c r="AN198" s="115"/>
      <c r="AO198" s="115"/>
      <c r="AP198" s="115"/>
      <c r="AQ198" s="115"/>
      <c r="AR198" s="115"/>
      <c r="AS198" s="115"/>
      <c r="AT198" s="115"/>
      <c r="AU198" s="115"/>
      <c r="AV198" s="115"/>
      <c r="AW198" s="115"/>
      <c r="AX198" s="25"/>
      <c r="AY198" s="13"/>
      <c r="BB198" s="114"/>
    </row>
    <row r="199" spans="1:54" ht="19.5" x14ac:dyDescent="0.4">
      <c r="A199" s="117"/>
      <c r="B199" s="123"/>
      <c r="C199" s="123"/>
      <c r="D199" s="123"/>
      <c r="L199" s="115"/>
      <c r="M199" s="115"/>
      <c r="N199" s="115"/>
      <c r="O199" s="26">
        <v>45816</v>
      </c>
      <c r="P199" s="13" t="s">
        <v>146</v>
      </c>
      <c r="Q199" s="115"/>
      <c r="R199" s="115"/>
      <c r="S199" s="115"/>
      <c r="T199" s="115"/>
      <c r="U199" s="115"/>
      <c r="V199" s="115"/>
      <c r="W199" s="115"/>
      <c r="X199" s="115"/>
      <c r="Y199" s="115"/>
      <c r="Z199" s="25"/>
      <c r="AA199" s="13"/>
      <c r="AF199" s="116"/>
      <c r="AG199" s="123"/>
      <c r="AH199" s="123"/>
      <c r="AI199" s="123"/>
      <c r="AN199" s="115"/>
      <c r="AO199" s="115"/>
      <c r="AP199" s="115"/>
      <c r="AQ199" s="115"/>
      <c r="AR199" s="115"/>
      <c r="AS199" s="115"/>
      <c r="AT199" s="115"/>
      <c r="AU199" s="115"/>
      <c r="AV199" s="115"/>
      <c r="AW199" s="115"/>
      <c r="AX199" s="25"/>
      <c r="AY199" s="13"/>
      <c r="BB199" s="114"/>
    </row>
    <row r="200" spans="1:54" ht="19.5" x14ac:dyDescent="0.4">
      <c r="A200" s="117"/>
      <c r="B200" s="123"/>
      <c r="C200" s="123"/>
      <c r="D200" s="123"/>
      <c r="L200" s="115"/>
      <c r="M200" s="115"/>
      <c r="N200" s="115" t="s">
        <v>413</v>
      </c>
      <c r="O200" s="17">
        <f>SUBTOTAL(3,O193:O199)</f>
        <v>7</v>
      </c>
      <c r="P200" s="13">
        <f>SUBTOTAL(3,P193:P199)</f>
        <v>7</v>
      </c>
      <c r="Q200" s="115"/>
      <c r="R200" s="115"/>
      <c r="S200" s="115"/>
      <c r="T200" s="115"/>
      <c r="U200" s="115"/>
      <c r="V200" s="115"/>
      <c r="W200" s="115"/>
      <c r="X200" s="115"/>
      <c r="Y200" s="115"/>
      <c r="Z200" s="25"/>
      <c r="AA200" s="13"/>
      <c r="AF200" s="116"/>
      <c r="AG200" s="123"/>
      <c r="AH200" s="123"/>
      <c r="AI200" s="123"/>
      <c r="AN200" s="115"/>
      <c r="AO200" s="115"/>
      <c r="AP200" s="115"/>
      <c r="AQ200" s="115"/>
      <c r="AR200" s="115"/>
      <c r="AS200" s="115"/>
      <c r="AT200" s="115"/>
      <c r="AU200" s="115"/>
      <c r="AV200" s="115"/>
      <c r="AW200" s="115"/>
      <c r="AX200" s="25"/>
      <c r="AY200" s="13"/>
      <c r="BB200" s="114"/>
    </row>
    <row r="201" spans="1:54" ht="19.5" x14ac:dyDescent="0.4">
      <c r="A201" s="117"/>
      <c r="B201" s="123"/>
      <c r="C201" s="123"/>
      <c r="D201" s="123"/>
      <c r="K201" s="115"/>
      <c r="L201" s="115"/>
      <c r="M201" s="115"/>
      <c r="N201" s="115"/>
      <c r="O201" s="26">
        <v>45821</v>
      </c>
      <c r="P201" s="15" t="s">
        <v>146</v>
      </c>
      <c r="Q201" s="115"/>
      <c r="R201" s="115"/>
      <c r="S201" s="115"/>
      <c r="T201" s="115"/>
      <c r="U201" s="115"/>
      <c r="V201" s="115"/>
      <c r="W201" s="115"/>
      <c r="X201" s="115"/>
      <c r="Y201" s="115"/>
      <c r="Z201" s="25"/>
      <c r="AA201" s="13"/>
      <c r="AF201" s="116"/>
      <c r="AG201" s="123"/>
      <c r="AH201" s="123"/>
      <c r="AI201" s="123"/>
      <c r="AN201" s="115"/>
      <c r="AO201" s="115"/>
      <c r="AP201" s="115"/>
      <c r="AQ201" s="115"/>
      <c r="AR201" s="115"/>
      <c r="AS201" s="115"/>
      <c r="AT201" s="115"/>
      <c r="AU201" s="115"/>
      <c r="AV201" s="115"/>
      <c r="AW201" s="115"/>
      <c r="AX201" s="25"/>
      <c r="AY201" s="13"/>
      <c r="BB201" s="114"/>
    </row>
    <row r="202" spans="1:54" ht="19.5" x14ac:dyDescent="0.4">
      <c r="A202" s="117"/>
      <c r="B202" s="123"/>
      <c r="C202" s="123"/>
      <c r="D202" s="123"/>
      <c r="K202" s="115"/>
      <c r="L202" s="115"/>
      <c r="M202" s="115"/>
      <c r="N202" s="115" t="s">
        <v>414</v>
      </c>
      <c r="O202" s="17">
        <f>SUBTOTAL(3,O201:O201)</f>
        <v>1</v>
      </c>
      <c r="P202" s="15">
        <f>SUBTOTAL(3,P201:P201)</f>
        <v>1</v>
      </c>
      <c r="Q202" s="115"/>
      <c r="R202" s="115"/>
      <c r="S202" s="115"/>
      <c r="T202" s="115"/>
      <c r="U202" s="115"/>
      <c r="V202" s="115"/>
      <c r="W202" s="115"/>
      <c r="X202" s="115"/>
      <c r="Y202" s="115"/>
      <c r="Z202" s="25"/>
      <c r="AA202" s="13"/>
      <c r="AF202" s="116"/>
      <c r="AG202" s="123"/>
      <c r="AH202" s="123"/>
      <c r="AI202" s="123"/>
      <c r="AN202" s="115"/>
      <c r="AO202" s="115"/>
      <c r="AP202" s="115"/>
      <c r="AQ202" s="115"/>
      <c r="AR202" s="115"/>
      <c r="AS202" s="115"/>
      <c r="AT202" s="115"/>
      <c r="AU202" s="115"/>
      <c r="AV202" s="115"/>
      <c r="AW202" s="115"/>
      <c r="AX202" s="25"/>
      <c r="AY202" s="13"/>
      <c r="BB202" s="114"/>
    </row>
    <row r="203" spans="1:54" ht="19.5" x14ac:dyDescent="0.4">
      <c r="A203" s="117"/>
      <c r="B203" s="123"/>
      <c r="C203" s="123"/>
      <c r="D203" s="123"/>
      <c r="K203" s="115"/>
      <c r="L203" s="115"/>
      <c r="M203" s="115"/>
      <c r="N203" s="115"/>
      <c r="O203" s="26">
        <v>45824</v>
      </c>
      <c r="P203" s="15" t="s">
        <v>147</v>
      </c>
      <c r="Q203" s="115"/>
      <c r="R203" s="115"/>
      <c r="S203" s="115"/>
      <c r="T203" s="115"/>
      <c r="U203" s="115"/>
      <c r="V203" s="115"/>
      <c r="W203" s="115"/>
      <c r="X203" s="115"/>
      <c r="Y203" s="115"/>
      <c r="Z203" s="25"/>
      <c r="AA203" s="13"/>
      <c r="AF203" s="116"/>
      <c r="AG203" s="123"/>
      <c r="AH203" s="123"/>
      <c r="AI203" s="123"/>
      <c r="AN203" s="115"/>
      <c r="AO203" s="115"/>
      <c r="AP203" s="115"/>
      <c r="AQ203" s="115"/>
      <c r="AR203" s="115"/>
      <c r="AS203" s="115"/>
      <c r="AT203" s="115"/>
      <c r="AU203" s="115"/>
      <c r="AV203" s="115"/>
      <c r="AW203" s="115"/>
      <c r="AX203" s="25"/>
      <c r="AY203" s="13"/>
      <c r="BB203" s="114"/>
    </row>
    <row r="204" spans="1:54" ht="19.5" x14ac:dyDescent="0.4">
      <c r="A204" s="117"/>
      <c r="B204" s="123"/>
      <c r="C204" s="123"/>
      <c r="D204" s="123"/>
      <c r="K204" s="115"/>
      <c r="L204" s="115"/>
      <c r="M204" s="115"/>
      <c r="N204" s="115" t="s">
        <v>204</v>
      </c>
      <c r="O204" s="17">
        <f>SUBTOTAL(3,O203:O203)</f>
        <v>1</v>
      </c>
      <c r="P204" s="15">
        <f>SUBTOTAL(3,P203:P203)</f>
        <v>1</v>
      </c>
      <c r="Q204" s="115"/>
      <c r="R204" s="115"/>
      <c r="S204" s="115"/>
      <c r="T204" s="115"/>
      <c r="U204" s="115"/>
      <c r="V204" s="115"/>
      <c r="W204" s="115"/>
      <c r="X204" s="115"/>
      <c r="Y204" s="115"/>
      <c r="Z204" s="25"/>
      <c r="AA204" s="13"/>
      <c r="AF204" s="116"/>
      <c r="AG204" s="123"/>
      <c r="AH204" s="123"/>
      <c r="AI204" s="123"/>
      <c r="AN204" s="115"/>
      <c r="AO204" s="115"/>
      <c r="AP204" s="115"/>
      <c r="AQ204" s="115"/>
      <c r="AR204" s="115"/>
      <c r="AS204" s="115"/>
      <c r="AT204" s="115"/>
      <c r="AU204" s="115"/>
      <c r="AV204" s="115"/>
      <c r="AW204" s="115"/>
      <c r="AX204" s="25"/>
      <c r="AY204" s="13"/>
      <c r="BB204" s="114"/>
    </row>
    <row r="205" spans="1:54" ht="19.5" x14ac:dyDescent="0.4">
      <c r="A205" s="117"/>
      <c r="B205" s="123"/>
      <c r="C205" s="123"/>
      <c r="D205" s="123"/>
      <c r="K205" s="115"/>
      <c r="L205" s="115"/>
      <c r="M205" s="115"/>
      <c r="N205" s="115"/>
      <c r="O205" s="26">
        <v>45826</v>
      </c>
      <c r="P205" s="15" t="s">
        <v>146</v>
      </c>
      <c r="Q205" s="115"/>
      <c r="R205" s="115"/>
      <c r="S205" s="115"/>
      <c r="T205" s="115"/>
      <c r="U205" s="115"/>
      <c r="V205" s="115"/>
      <c r="W205" s="115"/>
      <c r="X205" s="115"/>
      <c r="Y205" s="115"/>
      <c r="Z205" s="25"/>
      <c r="AA205" s="13"/>
      <c r="AF205" s="116"/>
      <c r="AG205" s="123"/>
      <c r="AH205" s="123"/>
      <c r="AI205" s="123"/>
      <c r="AN205" s="115"/>
      <c r="AO205" s="115"/>
      <c r="AP205" s="115"/>
      <c r="AQ205" s="115"/>
      <c r="AR205" s="115"/>
      <c r="AS205" s="115"/>
      <c r="AT205" s="115"/>
      <c r="AU205" s="115"/>
      <c r="AV205" s="115"/>
      <c r="AW205" s="115"/>
      <c r="AX205" s="25"/>
      <c r="AY205" s="13"/>
      <c r="BB205" s="114"/>
    </row>
    <row r="206" spans="1:54" ht="19.5" x14ac:dyDescent="0.4">
      <c r="A206" s="117"/>
      <c r="B206" s="123"/>
      <c r="C206" s="123"/>
      <c r="D206" s="123"/>
      <c r="O206" s="26">
        <v>45826</v>
      </c>
      <c r="P206" s="15" t="s">
        <v>148</v>
      </c>
      <c r="Q206" s="115"/>
      <c r="R206" s="115"/>
      <c r="S206" s="115"/>
      <c r="T206" s="115"/>
      <c r="U206" s="115"/>
      <c r="V206" s="115"/>
      <c r="W206" s="115"/>
      <c r="X206" s="115"/>
      <c r="Y206" s="115"/>
      <c r="Z206" s="25">
        <v>45679</v>
      </c>
      <c r="AA206" s="13" t="s">
        <v>147</v>
      </c>
      <c r="AF206" s="116"/>
      <c r="AG206" s="123"/>
      <c r="AH206" s="123"/>
      <c r="AI206" s="123"/>
      <c r="AN206" s="115"/>
      <c r="AO206" s="115"/>
      <c r="AP206" s="115"/>
      <c r="AQ206" s="115"/>
      <c r="AR206" s="115"/>
      <c r="AS206" s="115"/>
      <c r="AT206" s="115"/>
      <c r="AU206" s="115"/>
      <c r="AV206" s="115"/>
      <c r="AW206" s="115"/>
      <c r="AX206" s="25"/>
      <c r="AY206" s="13"/>
      <c r="BB206" s="114"/>
    </row>
    <row r="207" spans="1:54" ht="19.5" x14ac:dyDescent="0.4">
      <c r="A207" s="117"/>
      <c r="B207" s="123"/>
      <c r="C207" s="123"/>
      <c r="D207" s="123"/>
      <c r="N207" s="115" t="s">
        <v>415</v>
      </c>
      <c r="O207" s="17">
        <f>SUBTOTAL(3,O205:O206)</f>
        <v>2</v>
      </c>
      <c r="P207" s="15">
        <f>SUBTOTAL(3,P205:P206)</f>
        <v>2</v>
      </c>
      <c r="Q207" s="115"/>
      <c r="R207" s="115"/>
      <c r="S207" s="115"/>
      <c r="T207" s="115"/>
      <c r="U207" s="115"/>
      <c r="V207" s="115"/>
      <c r="W207" s="115"/>
      <c r="X207" s="115"/>
      <c r="Y207" s="115"/>
      <c r="Z207" s="25"/>
      <c r="AA207" s="13"/>
      <c r="AF207" s="116"/>
      <c r="AG207" s="123"/>
      <c r="AH207" s="123"/>
      <c r="AI207" s="123"/>
      <c r="AN207" s="115"/>
      <c r="AO207" s="115"/>
      <c r="AP207" s="115"/>
      <c r="AQ207" s="115"/>
      <c r="AR207" s="115"/>
      <c r="AS207" s="115"/>
      <c r="AT207" s="115"/>
      <c r="AU207" s="115"/>
      <c r="AV207" s="115"/>
      <c r="AW207" s="115"/>
      <c r="AX207" s="25"/>
      <c r="AY207" s="13"/>
      <c r="BB207" s="114"/>
    </row>
    <row r="208" spans="1:54" ht="19.5" x14ac:dyDescent="0.4">
      <c r="A208" s="117"/>
      <c r="B208" s="123"/>
      <c r="C208" s="123"/>
      <c r="D208" s="123"/>
      <c r="K208" s="115"/>
      <c r="L208" s="115"/>
      <c r="M208" s="115"/>
      <c r="N208" s="115"/>
      <c r="O208" s="26">
        <v>45836</v>
      </c>
      <c r="P208" s="15" t="s">
        <v>146</v>
      </c>
      <c r="Q208" s="115"/>
      <c r="R208" s="115"/>
      <c r="S208" s="115"/>
      <c r="T208" s="115"/>
      <c r="U208" s="115"/>
      <c r="V208" s="115"/>
      <c r="W208" s="115"/>
      <c r="X208" s="115"/>
      <c r="Y208" s="115"/>
      <c r="Z208" s="25"/>
      <c r="AA208" s="13"/>
      <c r="AF208" s="116"/>
      <c r="AG208" s="123"/>
      <c r="AH208" s="123"/>
      <c r="AI208" s="123"/>
      <c r="AN208" s="115"/>
      <c r="AO208" s="115"/>
      <c r="AP208" s="115"/>
      <c r="AQ208" s="115"/>
      <c r="AR208" s="115"/>
      <c r="AS208" s="115"/>
      <c r="AT208" s="115"/>
      <c r="AU208" s="115"/>
      <c r="AV208" s="115"/>
      <c r="AW208" s="115"/>
      <c r="AX208" s="25"/>
      <c r="AY208" s="13"/>
      <c r="BB208" s="114"/>
    </row>
    <row r="209" spans="1:54" ht="19.5" x14ac:dyDescent="0.4">
      <c r="A209" s="117"/>
      <c r="B209" s="123"/>
      <c r="C209" s="123"/>
      <c r="D209" s="123"/>
      <c r="K209" s="115"/>
      <c r="L209" s="115"/>
      <c r="M209" s="115"/>
      <c r="N209" s="115"/>
      <c r="O209" s="26">
        <v>45836</v>
      </c>
      <c r="P209" s="15" t="s">
        <v>148</v>
      </c>
      <c r="Q209" s="115"/>
      <c r="R209" s="115"/>
      <c r="S209" s="115"/>
      <c r="T209" s="115"/>
      <c r="U209" s="115"/>
      <c r="V209" s="115"/>
      <c r="W209" s="115"/>
      <c r="X209" s="115"/>
      <c r="Y209" s="115"/>
      <c r="Z209" s="25"/>
      <c r="AA209" s="13"/>
      <c r="AF209" s="116"/>
      <c r="AG209" s="123"/>
      <c r="AH209" s="123"/>
      <c r="AI209" s="123"/>
      <c r="AN209" s="115"/>
      <c r="AO209" s="115"/>
      <c r="AP209" s="115"/>
      <c r="AQ209" s="115"/>
      <c r="AR209" s="115"/>
      <c r="AS209" s="115"/>
      <c r="AT209" s="115"/>
      <c r="AU209" s="115"/>
      <c r="AV209" s="115"/>
      <c r="AW209" s="115"/>
      <c r="AX209" s="25"/>
      <c r="AY209" s="13"/>
      <c r="BB209" s="114"/>
    </row>
    <row r="210" spans="1:54" ht="19.5" x14ac:dyDescent="0.4">
      <c r="A210" s="117"/>
      <c r="B210" s="123"/>
      <c r="C210" s="123"/>
      <c r="D210" s="123"/>
      <c r="K210" s="115"/>
      <c r="L210" s="115"/>
      <c r="M210" s="115"/>
      <c r="N210" s="115" t="s">
        <v>416</v>
      </c>
      <c r="O210" s="17">
        <f>SUBTOTAL(3,O208:O209)</f>
        <v>2</v>
      </c>
      <c r="P210" s="13">
        <f>SUBTOTAL(3,P208:P209)</f>
        <v>2</v>
      </c>
      <c r="Q210" s="115"/>
      <c r="R210" s="115"/>
      <c r="S210" s="115"/>
      <c r="T210" s="115"/>
      <c r="U210" s="115"/>
      <c r="V210" s="115"/>
      <c r="W210" s="115"/>
      <c r="X210" s="115"/>
      <c r="Y210" s="115"/>
      <c r="Z210" s="25"/>
      <c r="AA210" s="13"/>
      <c r="AF210" s="116"/>
      <c r="AG210" s="123"/>
      <c r="AH210" s="123"/>
      <c r="AI210" s="123"/>
      <c r="AN210" s="115"/>
      <c r="AO210" s="115"/>
      <c r="AP210" s="115"/>
      <c r="AQ210" s="115"/>
      <c r="AR210" s="115"/>
      <c r="AS210" s="115"/>
      <c r="AT210" s="115"/>
      <c r="AU210" s="115"/>
      <c r="AV210" s="115"/>
      <c r="AW210" s="115"/>
      <c r="AX210" s="25"/>
      <c r="AY210" s="13"/>
      <c r="BB210" s="114"/>
    </row>
    <row r="211" spans="1:54" ht="19.5" x14ac:dyDescent="0.4">
      <c r="A211" s="117"/>
      <c r="B211" s="123"/>
      <c r="C211" s="123"/>
      <c r="D211" s="123"/>
      <c r="K211" s="115"/>
      <c r="L211" s="115"/>
      <c r="M211" s="115"/>
      <c r="N211" s="115" t="s">
        <v>145</v>
      </c>
      <c r="O211" s="17">
        <f>SUBTOTAL(3,O2:O209)</f>
        <v>178</v>
      </c>
      <c r="P211" s="13">
        <f>SUBTOTAL(3,P2:P209)</f>
        <v>178</v>
      </c>
      <c r="Q211" s="115"/>
      <c r="R211" s="115"/>
      <c r="S211" s="115"/>
      <c r="T211" s="115"/>
      <c r="U211" s="115"/>
      <c r="V211" s="115"/>
      <c r="W211" s="115"/>
      <c r="X211" s="115"/>
      <c r="Y211" s="115"/>
      <c r="Z211" s="25"/>
      <c r="AA211" s="13"/>
      <c r="AF211" s="116"/>
      <c r="AG211" s="123"/>
      <c r="AH211" s="123"/>
      <c r="AI211" s="123"/>
      <c r="AN211" s="115"/>
      <c r="AO211" s="115"/>
      <c r="AP211" s="115"/>
      <c r="AQ211" s="115"/>
      <c r="AR211" s="115"/>
      <c r="AS211" s="115"/>
      <c r="AT211" s="115"/>
      <c r="AU211" s="115"/>
      <c r="AV211" s="115"/>
      <c r="AW211" s="115"/>
      <c r="AX211" s="25"/>
      <c r="AY211" s="13"/>
      <c r="BB211" s="114"/>
    </row>
    <row r="212" spans="1:54" ht="19.5" x14ac:dyDescent="0.4">
      <c r="A212" s="117"/>
      <c r="B212" s="123"/>
      <c r="C212" s="123"/>
      <c r="D212" s="123"/>
      <c r="K212" s="115"/>
      <c r="L212" s="115"/>
      <c r="M212" s="115"/>
      <c r="N212" s="115"/>
      <c r="O212" s="26"/>
      <c r="P212" s="13"/>
      <c r="Q212" s="115"/>
      <c r="R212" s="115"/>
      <c r="S212" s="115"/>
      <c r="T212" s="115"/>
      <c r="U212" s="115"/>
      <c r="V212" s="115"/>
      <c r="W212" s="115"/>
      <c r="X212" s="115"/>
      <c r="Y212" s="115"/>
      <c r="Z212" s="25"/>
      <c r="AA212" s="13"/>
      <c r="AF212" s="116"/>
      <c r="AG212" s="123"/>
      <c r="AH212" s="123"/>
      <c r="AI212" s="123"/>
      <c r="AN212" s="115"/>
      <c r="AO212" s="115"/>
      <c r="AP212" s="115"/>
      <c r="AQ212" s="115"/>
      <c r="AR212" s="115"/>
      <c r="AS212" s="115"/>
      <c r="AT212" s="115"/>
      <c r="AU212" s="115"/>
      <c r="AV212" s="115"/>
      <c r="AW212" s="115"/>
      <c r="AX212" s="25"/>
      <c r="AY212" s="13"/>
      <c r="BB212" s="114"/>
    </row>
    <row r="213" spans="1:54" ht="19.5" x14ac:dyDescent="0.4">
      <c r="A213" s="117"/>
      <c r="B213" s="123"/>
      <c r="C213" s="123"/>
      <c r="D213" s="123"/>
      <c r="K213" s="115"/>
      <c r="L213" s="115"/>
      <c r="M213" s="115"/>
      <c r="N213" s="115"/>
      <c r="O213" s="17"/>
      <c r="P213" s="13"/>
      <c r="Q213" s="115"/>
      <c r="R213" s="115"/>
      <c r="S213" s="115"/>
      <c r="T213" s="115"/>
      <c r="U213" s="115"/>
      <c r="V213" s="115"/>
      <c r="W213" s="115"/>
      <c r="X213" s="115"/>
      <c r="Y213" s="115"/>
      <c r="Z213" s="25"/>
      <c r="AA213" s="13"/>
      <c r="AF213" s="116"/>
      <c r="AG213" s="123"/>
      <c r="AH213" s="123"/>
      <c r="AI213" s="123"/>
      <c r="AN213" s="115"/>
      <c r="AO213" s="115"/>
      <c r="AP213" s="115"/>
      <c r="AQ213" s="115"/>
      <c r="AR213" s="115"/>
      <c r="AS213" s="115"/>
      <c r="AT213" s="115"/>
      <c r="AU213" s="115"/>
      <c r="AV213" s="115"/>
      <c r="AW213" s="115"/>
      <c r="AX213" s="25"/>
      <c r="AY213" s="13"/>
      <c r="BB213" s="114"/>
    </row>
    <row r="214" spans="1:54" ht="19.5" x14ac:dyDescent="0.4">
      <c r="A214" s="117"/>
      <c r="B214" s="123"/>
      <c r="C214" s="123"/>
      <c r="D214" s="123"/>
      <c r="J214" s="115"/>
      <c r="K214" s="115"/>
      <c r="L214" s="115"/>
      <c r="M214" s="115"/>
      <c r="N214" s="115"/>
      <c r="O214" s="26"/>
      <c r="P214" s="13"/>
      <c r="Q214" s="115"/>
      <c r="R214" s="115"/>
      <c r="S214" s="115"/>
      <c r="T214" s="115"/>
      <c r="U214" s="115"/>
      <c r="V214" s="115"/>
      <c r="W214" s="115"/>
      <c r="X214" s="115"/>
      <c r="Y214" s="115"/>
      <c r="Z214" s="25"/>
      <c r="AA214" s="13"/>
      <c r="AF214" s="116"/>
      <c r="AG214" s="123"/>
      <c r="AH214" s="123"/>
      <c r="AI214" s="123"/>
      <c r="AN214" s="115"/>
      <c r="AO214" s="115"/>
      <c r="AP214" s="115"/>
      <c r="AQ214" s="115"/>
      <c r="AR214" s="115"/>
      <c r="AS214" s="115"/>
      <c r="AT214" s="115"/>
      <c r="AU214" s="115"/>
      <c r="AV214" s="115"/>
      <c r="AW214" s="115"/>
      <c r="AX214" s="25"/>
      <c r="AY214" s="13"/>
      <c r="BB214" s="114"/>
    </row>
    <row r="215" spans="1:54" ht="19.5" x14ac:dyDescent="0.4">
      <c r="A215" s="117"/>
      <c r="B215" s="123"/>
      <c r="C215" s="123"/>
      <c r="D215" s="123"/>
      <c r="G215" s="115"/>
      <c r="H215" s="115"/>
      <c r="I215" s="115"/>
      <c r="J215" s="115"/>
      <c r="K215" s="115"/>
      <c r="L215" s="115"/>
      <c r="M215" s="115"/>
      <c r="N215" s="115"/>
      <c r="O215" s="26"/>
      <c r="P215" s="13"/>
      <c r="Q215" s="115"/>
      <c r="R215" s="115"/>
      <c r="S215" s="115"/>
      <c r="T215" s="115"/>
      <c r="U215" s="115"/>
      <c r="V215" s="115"/>
      <c r="W215" s="115"/>
      <c r="X215" s="115"/>
      <c r="Y215" s="115"/>
      <c r="Z215" s="25"/>
      <c r="AA215" s="13"/>
      <c r="AF215" s="116"/>
      <c r="AG215" s="123"/>
      <c r="AH215" s="123"/>
      <c r="AI215" s="123"/>
      <c r="AN215" s="115"/>
      <c r="AO215" s="115"/>
      <c r="AP215" s="115"/>
      <c r="AQ215" s="115"/>
      <c r="AR215" s="115"/>
      <c r="AS215" s="115"/>
      <c r="AT215" s="115"/>
      <c r="AU215" s="115"/>
      <c r="AV215" s="115"/>
      <c r="AW215" s="115"/>
      <c r="AX215" s="25"/>
      <c r="AY215" s="13"/>
      <c r="BB215" s="114"/>
    </row>
    <row r="216" spans="1:54" ht="19.5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115"/>
      <c r="N216" s="115"/>
      <c r="O216" s="26"/>
      <c r="P216" s="13"/>
      <c r="Q216" s="115"/>
      <c r="R216" s="115"/>
      <c r="S216" s="115"/>
      <c r="T216" s="115"/>
      <c r="U216" s="115"/>
      <c r="V216" s="115"/>
      <c r="W216" s="115"/>
      <c r="X216" s="115"/>
      <c r="Y216" s="115"/>
      <c r="Z216" s="25"/>
      <c r="AA216" s="13"/>
      <c r="AF216" s="116"/>
      <c r="AG216" s="123"/>
      <c r="AH216" s="123"/>
      <c r="AI216" s="123"/>
      <c r="AN216" s="115"/>
      <c r="AO216" s="115"/>
      <c r="AP216" s="115"/>
      <c r="AQ216" s="115"/>
      <c r="AR216" s="115"/>
      <c r="AS216" s="115"/>
      <c r="AT216" s="115"/>
      <c r="AU216" s="115"/>
      <c r="AV216" s="115"/>
      <c r="AW216" s="115"/>
      <c r="AX216" s="25"/>
      <c r="AY216" s="13"/>
      <c r="BB216" s="114"/>
    </row>
    <row r="217" spans="1:54" ht="19.5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15"/>
      <c r="N217" s="115"/>
      <c r="O217" s="26"/>
      <c r="P217" s="13"/>
      <c r="Q217" s="115"/>
      <c r="R217" s="115"/>
      <c r="S217" s="115"/>
      <c r="T217" s="115"/>
      <c r="U217" s="115"/>
      <c r="V217" s="115"/>
      <c r="W217" s="115"/>
      <c r="X217" s="115"/>
      <c r="Y217" s="115"/>
      <c r="Z217" s="25"/>
      <c r="AA217" s="13"/>
      <c r="AF217" s="116"/>
      <c r="AG217" s="123"/>
      <c r="AH217" s="123"/>
      <c r="AI217" s="123"/>
      <c r="AN217" s="115"/>
      <c r="AO217" s="115"/>
      <c r="AP217" s="115"/>
      <c r="AQ217" s="115"/>
      <c r="AR217" s="115"/>
      <c r="AS217" s="115"/>
      <c r="AT217" s="115"/>
      <c r="AU217" s="115"/>
      <c r="AV217" s="115"/>
      <c r="AW217" s="115"/>
      <c r="AX217" s="25"/>
      <c r="AY217" s="13"/>
      <c r="BB217" s="114"/>
    </row>
    <row r="218" spans="1:54" ht="19.5" x14ac:dyDescent="0.4">
      <c r="A218" s="117"/>
      <c r="B218" s="123"/>
      <c r="C218" s="123"/>
      <c r="D218" s="123"/>
      <c r="O218" s="26"/>
      <c r="P218" s="13"/>
      <c r="Z218" s="25">
        <v>45679</v>
      </c>
      <c r="AA218" s="13" t="s">
        <v>147</v>
      </c>
      <c r="AF218" s="116"/>
      <c r="AG218" s="123"/>
      <c r="AH218" s="123"/>
      <c r="AI218" s="123"/>
      <c r="AN218" s="115"/>
      <c r="AO218" s="115"/>
      <c r="AP218" s="115"/>
      <c r="AQ218" s="115"/>
      <c r="AR218" s="115"/>
      <c r="AS218" s="115"/>
      <c r="AT218" s="115"/>
      <c r="AU218" s="115"/>
      <c r="AV218" s="115"/>
      <c r="AW218" s="115"/>
      <c r="AX218" s="25"/>
      <c r="AY218" s="13"/>
      <c r="BB218" s="114"/>
    </row>
    <row r="219" spans="1:54" ht="19.5" x14ac:dyDescent="0.4">
      <c r="A219" s="117"/>
      <c r="B219" s="123"/>
      <c r="C219" s="123"/>
      <c r="D219" s="123"/>
      <c r="K219" s="115"/>
      <c r="L219" s="115"/>
      <c r="M219" s="115"/>
      <c r="N219" s="115"/>
      <c r="O219" s="26"/>
      <c r="P219" s="13"/>
      <c r="Z219" s="25"/>
      <c r="AA219" s="13"/>
      <c r="AF219" s="116"/>
      <c r="AG219" s="123"/>
      <c r="AH219" s="123"/>
      <c r="AI219" s="123"/>
      <c r="AN219" s="115"/>
      <c r="AO219" s="115"/>
      <c r="AP219" s="115"/>
      <c r="AQ219" s="115"/>
      <c r="AR219" s="115"/>
      <c r="AS219" s="115"/>
      <c r="AT219" s="115"/>
      <c r="AU219" s="115"/>
      <c r="AV219" s="115"/>
      <c r="AW219" s="115"/>
      <c r="AX219" s="25"/>
      <c r="AY219" s="13"/>
      <c r="BB219" s="114"/>
    </row>
    <row r="220" spans="1:54" ht="19.5" x14ac:dyDescent="0.4">
      <c r="A220" s="117"/>
      <c r="B220" s="123"/>
      <c r="C220" s="123"/>
      <c r="D220" s="123"/>
      <c r="O220" s="26"/>
      <c r="P220" s="13"/>
      <c r="Z220" s="25"/>
      <c r="AA220" s="13"/>
      <c r="AF220" s="116"/>
      <c r="AG220" s="123"/>
      <c r="AH220" s="123"/>
      <c r="AI220" s="123"/>
      <c r="AN220" s="115"/>
      <c r="AO220" s="115"/>
      <c r="AP220" s="115"/>
      <c r="AQ220" s="115"/>
      <c r="AR220" s="115"/>
      <c r="AS220" s="115"/>
      <c r="AT220" s="115"/>
      <c r="AU220" s="115"/>
      <c r="AV220" s="115"/>
      <c r="AW220" s="115"/>
      <c r="AX220" s="25"/>
      <c r="AY220" s="13"/>
      <c r="BB220" s="114"/>
    </row>
    <row r="221" spans="1:54" ht="19.5" x14ac:dyDescent="0.4">
      <c r="A221" s="117"/>
      <c r="B221" s="123"/>
      <c r="C221" s="123"/>
      <c r="D221" s="123"/>
      <c r="K221" s="115"/>
      <c r="L221" s="115"/>
      <c r="M221" s="115"/>
      <c r="N221" s="115"/>
      <c r="O221" s="26"/>
      <c r="P221" s="13"/>
      <c r="Z221" s="25"/>
      <c r="AA221" s="13"/>
      <c r="AF221" s="116"/>
      <c r="AG221" s="123"/>
      <c r="AH221" s="123"/>
      <c r="AI221" s="123"/>
      <c r="AN221" s="115"/>
      <c r="AO221" s="115"/>
      <c r="AP221" s="115"/>
      <c r="AQ221" s="115"/>
      <c r="AR221" s="115"/>
      <c r="AS221" s="115"/>
      <c r="AT221" s="115"/>
      <c r="AU221" s="115"/>
      <c r="AV221" s="115"/>
      <c r="AW221" s="115"/>
      <c r="AX221" s="25"/>
      <c r="AY221" s="13"/>
      <c r="BB221" s="114"/>
    </row>
    <row r="222" spans="1:54" ht="19.5" x14ac:dyDescent="0.4">
      <c r="A222" s="117"/>
      <c r="B222" s="123"/>
      <c r="C222" s="123"/>
      <c r="D222" s="123"/>
      <c r="K222" s="115"/>
      <c r="L222" s="115"/>
      <c r="M222" s="115"/>
      <c r="N222" s="115"/>
      <c r="O222" s="17"/>
      <c r="P222" s="13"/>
      <c r="Z222" s="25"/>
      <c r="AA222" s="13"/>
      <c r="AF222" s="116"/>
      <c r="AG222" s="123"/>
      <c r="AH222" s="123"/>
      <c r="AI222" s="123"/>
      <c r="AN222" s="115"/>
      <c r="AO222" s="115"/>
      <c r="AP222" s="115"/>
      <c r="AQ222" s="115"/>
      <c r="AR222" s="115"/>
      <c r="AS222" s="115"/>
      <c r="AT222" s="115"/>
      <c r="AU222" s="115"/>
      <c r="AV222" s="115"/>
      <c r="AW222" s="115"/>
      <c r="AX222" s="25"/>
      <c r="AY222" s="13"/>
      <c r="BB222" s="114"/>
    </row>
    <row r="223" spans="1:54" ht="19.5" x14ac:dyDescent="0.4">
      <c r="A223" s="117"/>
      <c r="B223" s="123"/>
      <c r="C223" s="123"/>
      <c r="D223" s="123"/>
      <c r="O223" s="26"/>
      <c r="P223" s="13"/>
      <c r="Q223" s="115"/>
      <c r="R223" s="115"/>
      <c r="S223" s="115"/>
      <c r="T223" s="115"/>
      <c r="U223" s="115"/>
      <c r="V223" s="115"/>
      <c r="W223" s="115"/>
      <c r="X223" s="115"/>
      <c r="Y223" s="115"/>
      <c r="Z223" s="25">
        <v>45679</v>
      </c>
      <c r="AA223" s="13" t="s">
        <v>146</v>
      </c>
      <c r="AF223" s="116"/>
      <c r="AG223" s="123"/>
      <c r="AH223" s="123"/>
      <c r="AI223" s="123"/>
      <c r="AN223" s="115"/>
      <c r="AO223" s="115"/>
      <c r="AP223" s="115"/>
      <c r="AQ223" s="115"/>
      <c r="AR223" s="115"/>
      <c r="AS223" s="115"/>
      <c r="AT223" s="115"/>
      <c r="AU223" s="115"/>
      <c r="AV223" s="115"/>
      <c r="AW223" s="115"/>
      <c r="AX223" s="25"/>
      <c r="AY223" s="13"/>
      <c r="BB223" s="114"/>
    </row>
    <row r="224" spans="1:54" ht="19.5" x14ac:dyDescent="0.4">
      <c r="A224" s="117"/>
      <c r="B224" s="123"/>
      <c r="C224" s="123"/>
      <c r="D224" s="123"/>
      <c r="K224" s="115"/>
      <c r="L224" s="115"/>
      <c r="M224" s="115"/>
      <c r="N224" s="115"/>
      <c r="O224" s="26"/>
      <c r="P224" s="13"/>
      <c r="Q224" s="115"/>
      <c r="R224" s="115"/>
      <c r="S224" s="115"/>
      <c r="T224" s="115"/>
      <c r="U224" s="115"/>
      <c r="V224" s="115"/>
      <c r="W224" s="115"/>
      <c r="X224" s="115"/>
      <c r="Y224" s="115"/>
      <c r="Z224" s="25"/>
      <c r="AA224" s="13"/>
      <c r="AF224" s="116"/>
      <c r="AG224" s="123"/>
      <c r="AH224" s="123"/>
      <c r="AI224" s="123"/>
      <c r="AN224" s="115"/>
      <c r="AO224" s="115"/>
      <c r="AP224" s="115"/>
      <c r="AQ224" s="115"/>
      <c r="AR224" s="115"/>
      <c r="AS224" s="115"/>
      <c r="AT224" s="115"/>
      <c r="AU224" s="115"/>
      <c r="AV224" s="115"/>
      <c r="AW224" s="115"/>
      <c r="AX224" s="25"/>
      <c r="AY224" s="13"/>
      <c r="BB224" s="114"/>
    </row>
    <row r="225" spans="1:54" ht="19.5" x14ac:dyDescent="0.4">
      <c r="A225" s="117"/>
      <c r="B225" s="123"/>
      <c r="C225" s="123"/>
      <c r="D225" s="123"/>
      <c r="O225" s="26"/>
      <c r="P225" s="13"/>
      <c r="Q225" s="115"/>
      <c r="R225" s="115"/>
      <c r="S225" s="115"/>
      <c r="T225" s="115"/>
      <c r="U225" s="115"/>
      <c r="V225" s="115"/>
      <c r="W225" s="115"/>
      <c r="X225" s="115"/>
      <c r="Y225" s="115"/>
      <c r="Z225" s="25"/>
      <c r="AA225" s="13"/>
      <c r="AF225" s="116"/>
      <c r="AG225" s="123"/>
      <c r="AH225" s="123"/>
      <c r="AI225" s="123"/>
      <c r="AN225" s="115"/>
      <c r="AO225" s="115"/>
      <c r="AP225" s="115"/>
      <c r="AQ225" s="115"/>
      <c r="AR225" s="115"/>
      <c r="AS225" s="115"/>
      <c r="AT225" s="115"/>
      <c r="AU225" s="115"/>
      <c r="AV225" s="115"/>
      <c r="AW225" s="115"/>
      <c r="AX225" s="25"/>
      <c r="AY225" s="13"/>
      <c r="BB225" s="114"/>
    </row>
    <row r="226" spans="1:54" ht="19.5" x14ac:dyDescent="0.4">
      <c r="A226" s="117"/>
      <c r="B226" s="123"/>
      <c r="C226" s="123"/>
      <c r="D226" s="123"/>
      <c r="K226" s="115"/>
      <c r="L226" s="115"/>
      <c r="M226" s="115"/>
      <c r="N226" s="115"/>
      <c r="O226" s="26"/>
      <c r="P226" s="13"/>
      <c r="Q226" s="115"/>
      <c r="R226" s="115"/>
      <c r="S226" s="115"/>
      <c r="T226" s="115"/>
      <c r="U226" s="115"/>
      <c r="V226" s="115"/>
      <c r="W226" s="115"/>
      <c r="X226" s="115"/>
      <c r="Y226" s="115"/>
      <c r="Z226" s="25"/>
      <c r="AA226" s="13"/>
      <c r="AF226" s="116"/>
      <c r="AG226" s="123"/>
      <c r="AH226" s="123"/>
      <c r="AI226" s="123"/>
      <c r="AN226" s="115"/>
      <c r="AO226" s="115"/>
      <c r="AP226" s="115"/>
      <c r="AQ226" s="115"/>
      <c r="AR226" s="115"/>
      <c r="AS226" s="115"/>
      <c r="AT226" s="115"/>
      <c r="AU226" s="115"/>
      <c r="AV226" s="115"/>
      <c r="AW226" s="115"/>
      <c r="AX226" s="25"/>
      <c r="AY226" s="13"/>
      <c r="BB226" s="114"/>
    </row>
    <row r="227" spans="1:54" ht="19.5" x14ac:dyDescent="0.4">
      <c r="A227" s="117"/>
      <c r="B227" s="123"/>
      <c r="C227" s="123"/>
      <c r="D227" s="123"/>
      <c r="K227" s="115"/>
      <c r="L227" s="115"/>
      <c r="M227" s="115"/>
      <c r="N227" s="115"/>
      <c r="O227" s="26"/>
      <c r="P227" s="13"/>
      <c r="Q227" s="115"/>
      <c r="R227" s="115"/>
      <c r="S227" s="115"/>
      <c r="T227" s="115"/>
      <c r="U227" s="115"/>
      <c r="V227" s="115"/>
      <c r="W227" s="115"/>
      <c r="X227" s="115"/>
      <c r="Y227" s="115"/>
      <c r="Z227" s="25"/>
      <c r="AA227" s="13"/>
      <c r="AF227" s="116"/>
      <c r="AG227" s="123"/>
      <c r="AH227" s="123"/>
      <c r="AI227" s="123"/>
      <c r="AN227" s="115"/>
      <c r="AO227" s="115"/>
      <c r="AP227" s="115"/>
      <c r="AQ227" s="115"/>
      <c r="AR227" s="115"/>
      <c r="AS227" s="115"/>
      <c r="AT227" s="115"/>
      <c r="AU227" s="115"/>
      <c r="AV227" s="115"/>
      <c r="AW227" s="115"/>
      <c r="AX227" s="25"/>
      <c r="AY227" s="13"/>
      <c r="BB227" s="114"/>
    </row>
    <row r="228" spans="1:54" ht="19.5" x14ac:dyDescent="0.4">
      <c r="A228" s="117"/>
      <c r="B228" s="123"/>
      <c r="C228" s="123"/>
      <c r="D228" s="123"/>
      <c r="O228" s="26"/>
      <c r="P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25">
        <v>45679</v>
      </c>
      <c r="AA228" s="13" t="s">
        <v>147</v>
      </c>
      <c r="AF228" s="116"/>
      <c r="AG228" s="123"/>
      <c r="AH228" s="123"/>
      <c r="AI228" s="123"/>
      <c r="AN228" s="115"/>
      <c r="AO228" s="115"/>
      <c r="AP228" s="115"/>
      <c r="AQ228" s="115"/>
      <c r="AR228" s="115"/>
      <c r="AS228" s="115"/>
      <c r="AT228" s="115"/>
      <c r="AU228" s="115"/>
      <c r="AV228" s="115"/>
      <c r="AW228" s="115"/>
      <c r="AX228" s="25"/>
      <c r="AY228" s="13"/>
      <c r="BB228" s="114"/>
    </row>
    <row r="229" spans="1:54" ht="19.5" x14ac:dyDescent="0.4">
      <c r="A229" s="117"/>
      <c r="B229" s="123"/>
      <c r="C229" s="123"/>
      <c r="D229" s="123"/>
      <c r="O229" s="26"/>
      <c r="P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25">
        <v>45680</v>
      </c>
      <c r="AA229" s="13" t="s">
        <v>148</v>
      </c>
      <c r="AF229" s="116"/>
      <c r="AG229" s="123"/>
      <c r="AH229" s="123"/>
      <c r="AI229" s="123"/>
      <c r="AN229" s="115"/>
      <c r="AO229" s="115"/>
      <c r="AP229" s="115"/>
      <c r="AQ229" s="115"/>
      <c r="AR229" s="115"/>
      <c r="AS229" s="115"/>
      <c r="AT229" s="115"/>
      <c r="AU229" s="115"/>
      <c r="AV229" s="115"/>
      <c r="AW229" s="115"/>
      <c r="AX229" s="25"/>
      <c r="AY229" s="13"/>
      <c r="BB229" s="114"/>
    </row>
    <row r="230" spans="1:54" ht="19.5" x14ac:dyDescent="0.4">
      <c r="A230" s="117"/>
      <c r="B230" s="123"/>
      <c r="C230" s="123"/>
      <c r="D230" s="123"/>
      <c r="M230" s="115"/>
      <c r="N230" s="115"/>
      <c r="O230" s="17"/>
      <c r="P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25"/>
      <c r="AA230" s="13"/>
      <c r="AF230" s="116"/>
      <c r="AG230" s="123"/>
      <c r="AH230" s="123"/>
      <c r="AI230" s="123"/>
      <c r="AN230" s="115"/>
      <c r="AO230" s="115"/>
      <c r="AP230" s="115"/>
      <c r="AQ230" s="115"/>
      <c r="AR230" s="115"/>
      <c r="AS230" s="115"/>
      <c r="AT230" s="115"/>
      <c r="AU230" s="115"/>
      <c r="AV230" s="115"/>
      <c r="AW230" s="115"/>
      <c r="AX230" s="25"/>
      <c r="AY230" s="13"/>
      <c r="BB230" s="114"/>
    </row>
    <row r="231" spans="1:54" ht="19.5" x14ac:dyDescent="0.4">
      <c r="A231" s="117"/>
      <c r="B231" s="123"/>
      <c r="C231" s="123"/>
      <c r="D231" s="123"/>
      <c r="I231" s="115"/>
      <c r="J231" s="115"/>
      <c r="K231" s="115"/>
      <c r="L231" s="115"/>
      <c r="M231" s="115"/>
      <c r="N231" s="115"/>
      <c r="O231" s="26"/>
      <c r="P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25"/>
      <c r="AA231" s="13"/>
      <c r="AF231" s="116"/>
      <c r="AG231" s="123"/>
      <c r="AH231" s="123"/>
      <c r="AI231" s="123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25"/>
      <c r="AY231" s="13"/>
      <c r="BB231" s="114"/>
    </row>
    <row r="232" spans="1:54" ht="19.5" x14ac:dyDescent="0.4">
      <c r="A232" s="117"/>
      <c r="B232" s="123"/>
      <c r="C232" s="123"/>
      <c r="D232" s="123"/>
      <c r="O232" s="26"/>
      <c r="P232" s="13"/>
      <c r="Q232" s="115"/>
      <c r="R232" s="115"/>
      <c r="S232" s="115"/>
      <c r="T232" s="115"/>
      <c r="U232" s="115"/>
      <c r="V232" s="115"/>
      <c r="W232" s="115"/>
      <c r="X232" s="115"/>
      <c r="Y232" s="115"/>
      <c r="Z232" s="25">
        <v>45680</v>
      </c>
      <c r="AA232" s="13" t="s">
        <v>147</v>
      </c>
      <c r="AF232" s="116"/>
      <c r="AG232" s="123"/>
      <c r="AH232" s="123"/>
      <c r="AI232" s="123"/>
      <c r="AN232" s="115"/>
      <c r="AO232" s="115"/>
      <c r="AP232" s="115"/>
      <c r="AQ232" s="115"/>
      <c r="AR232" s="115"/>
      <c r="AS232" s="115"/>
      <c r="AT232" s="115"/>
      <c r="AU232" s="115"/>
      <c r="AV232" s="115"/>
      <c r="AW232" s="115"/>
      <c r="AX232" s="25"/>
      <c r="AY232" s="13"/>
      <c r="BB232" s="114"/>
    </row>
    <row r="233" spans="1:54" ht="19.5" x14ac:dyDescent="0.4">
      <c r="A233" s="117"/>
      <c r="B233" s="123"/>
      <c r="C233" s="123"/>
      <c r="D233" s="123"/>
      <c r="I233" s="115"/>
      <c r="J233" s="115"/>
      <c r="K233" s="115"/>
      <c r="L233" s="115"/>
      <c r="M233" s="115"/>
      <c r="N233" s="115"/>
      <c r="O233" s="26"/>
      <c r="P233" s="13"/>
      <c r="Q233" s="115"/>
      <c r="R233" s="115"/>
      <c r="S233" s="115"/>
      <c r="T233" s="115"/>
      <c r="U233" s="115"/>
      <c r="V233" s="115"/>
      <c r="W233" s="115"/>
      <c r="X233" s="115"/>
      <c r="Y233" s="115"/>
      <c r="Z233" s="25"/>
      <c r="AA233" s="13"/>
      <c r="AF233" s="116"/>
      <c r="AG233" s="123"/>
      <c r="AH233" s="123"/>
      <c r="AI233" s="123"/>
      <c r="AN233" s="115"/>
      <c r="AO233" s="115"/>
      <c r="AP233" s="115"/>
      <c r="AQ233" s="115"/>
      <c r="AR233" s="115"/>
      <c r="AS233" s="115"/>
      <c r="AT233" s="115"/>
      <c r="AU233" s="115"/>
      <c r="AV233" s="115"/>
      <c r="AW233" s="115"/>
      <c r="AX233" s="25"/>
      <c r="AY233" s="13"/>
      <c r="BB233" s="114"/>
    </row>
    <row r="234" spans="1:54" ht="19.5" x14ac:dyDescent="0.4">
      <c r="A234" s="117"/>
      <c r="B234" s="123"/>
      <c r="C234" s="123"/>
      <c r="D234" s="123"/>
      <c r="I234" s="115"/>
      <c r="J234" s="115"/>
      <c r="K234" s="115"/>
      <c r="L234" s="115"/>
      <c r="M234" s="115"/>
      <c r="N234" s="115"/>
      <c r="O234" s="26"/>
      <c r="P234" s="13"/>
      <c r="Q234" s="115"/>
      <c r="R234" s="115"/>
      <c r="S234" s="115"/>
      <c r="T234" s="115"/>
      <c r="U234" s="115"/>
      <c r="V234" s="115"/>
      <c r="W234" s="115"/>
      <c r="X234" s="115"/>
      <c r="Y234" s="115"/>
      <c r="Z234" s="25"/>
      <c r="AA234" s="13"/>
      <c r="AF234" s="116"/>
      <c r="AG234" s="123"/>
      <c r="AH234" s="123"/>
      <c r="AI234" s="123"/>
      <c r="AN234" s="115"/>
      <c r="AO234" s="115"/>
      <c r="AP234" s="115"/>
      <c r="AQ234" s="115"/>
      <c r="AR234" s="115"/>
      <c r="AS234" s="115"/>
      <c r="AT234" s="115"/>
      <c r="AU234" s="115"/>
      <c r="AV234" s="115"/>
      <c r="AW234" s="115"/>
      <c r="AX234" s="25"/>
      <c r="AY234" s="13"/>
      <c r="BB234" s="114"/>
    </row>
    <row r="235" spans="1:54" ht="19.5" x14ac:dyDescent="0.4">
      <c r="A235" s="117"/>
      <c r="B235" s="123"/>
      <c r="C235" s="123"/>
      <c r="D235" s="123"/>
      <c r="O235" s="26"/>
      <c r="P235" s="13"/>
      <c r="Q235" s="115"/>
      <c r="R235" s="115"/>
      <c r="S235" s="115"/>
      <c r="T235" s="115"/>
      <c r="U235" s="115"/>
      <c r="V235" s="115"/>
      <c r="W235" s="115"/>
      <c r="X235" s="115"/>
      <c r="Y235" s="115"/>
      <c r="Z235" s="25">
        <v>45680</v>
      </c>
      <c r="AA235" s="13" t="s">
        <v>147</v>
      </c>
      <c r="AF235" s="116"/>
      <c r="AG235" s="123"/>
      <c r="AH235" s="123"/>
      <c r="AI235" s="123"/>
      <c r="AN235" s="115"/>
      <c r="AO235" s="115"/>
      <c r="AP235" s="115"/>
      <c r="AQ235" s="115"/>
      <c r="AR235" s="115"/>
      <c r="AS235" s="115"/>
      <c r="AT235" s="115"/>
      <c r="AU235" s="115"/>
      <c r="AV235" s="115"/>
      <c r="AW235" s="115"/>
      <c r="AX235" s="25"/>
      <c r="AY235" s="13"/>
      <c r="BB235" s="114"/>
    </row>
    <row r="236" spans="1:54" ht="19.5" x14ac:dyDescent="0.4">
      <c r="A236" s="117"/>
      <c r="B236" s="123"/>
      <c r="C236" s="123"/>
      <c r="D236" s="123"/>
      <c r="O236" s="26"/>
      <c r="P236" s="15"/>
      <c r="Q236" s="115"/>
      <c r="R236" s="115"/>
      <c r="S236" s="115"/>
      <c r="T236" s="115"/>
      <c r="U236" s="115"/>
      <c r="V236" s="115"/>
      <c r="W236" s="115"/>
      <c r="X236" s="115"/>
      <c r="Y236" s="115"/>
      <c r="Z236" s="25"/>
      <c r="AA236" s="13"/>
      <c r="AF236" s="116"/>
      <c r="AG236" s="123"/>
      <c r="AH236" s="123"/>
      <c r="AI236" s="123"/>
      <c r="AN236" s="115"/>
      <c r="AO236" s="115"/>
      <c r="AP236" s="115"/>
      <c r="AQ236" s="115"/>
      <c r="AR236" s="115"/>
      <c r="AS236" s="115"/>
      <c r="AT236" s="115"/>
      <c r="AU236" s="115"/>
      <c r="AV236" s="115"/>
      <c r="AW236" s="115"/>
      <c r="AX236" s="25"/>
      <c r="AY236" s="13"/>
      <c r="BB236" s="114"/>
    </row>
    <row r="237" spans="1:54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15"/>
      <c r="O237" s="26"/>
      <c r="P237" s="15"/>
      <c r="Q237" s="115"/>
      <c r="R237" s="115"/>
      <c r="S237" s="115"/>
      <c r="T237" s="115"/>
      <c r="U237" s="115"/>
      <c r="V237" s="115"/>
      <c r="W237" s="115"/>
      <c r="X237" s="115"/>
      <c r="Y237" s="115"/>
      <c r="Z237" s="25"/>
      <c r="AA237" s="13"/>
      <c r="AF237" s="116"/>
      <c r="AG237" s="123"/>
      <c r="AH237" s="123"/>
      <c r="AI237" s="123"/>
      <c r="AN237" s="115"/>
      <c r="AO237" s="115"/>
      <c r="AP237" s="115"/>
      <c r="AQ237" s="115"/>
      <c r="AR237" s="115"/>
      <c r="AS237" s="115"/>
      <c r="AT237" s="115"/>
      <c r="AU237" s="115"/>
      <c r="AV237" s="115"/>
      <c r="AW237" s="115"/>
      <c r="AX237" s="25"/>
      <c r="AY237" s="13"/>
      <c r="BB237" s="114"/>
    </row>
    <row r="238" spans="1:54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15"/>
      <c r="O238" s="26"/>
      <c r="P238" s="15"/>
      <c r="Q238" s="115"/>
      <c r="R238" s="115"/>
      <c r="S238" s="115"/>
      <c r="T238" s="115"/>
      <c r="U238" s="115"/>
      <c r="V238" s="115"/>
      <c r="W238" s="115"/>
      <c r="X238" s="115"/>
      <c r="Y238" s="115"/>
      <c r="Z238" s="25"/>
      <c r="AA238" s="13"/>
      <c r="AF238" s="116"/>
      <c r="AG238" s="123"/>
      <c r="AH238" s="123"/>
      <c r="AI238" s="123"/>
      <c r="AN238" s="115"/>
      <c r="AO238" s="115"/>
      <c r="AP238" s="115"/>
      <c r="AQ238" s="115"/>
      <c r="AR238" s="115"/>
      <c r="AS238" s="115"/>
      <c r="AT238" s="115"/>
      <c r="AU238" s="115"/>
      <c r="AV238" s="115"/>
      <c r="AW238" s="115"/>
      <c r="AX238" s="25"/>
      <c r="AY238" s="13"/>
      <c r="BB238" s="114"/>
    </row>
    <row r="239" spans="1:54" ht="19.5" x14ac:dyDescent="0.4">
      <c r="A239" s="117"/>
      <c r="B239" s="123"/>
      <c r="C239" s="123"/>
      <c r="D239" s="123"/>
      <c r="O239" s="26"/>
      <c r="P239" s="15"/>
      <c r="Q239" s="115"/>
      <c r="R239" s="115"/>
      <c r="S239" s="115"/>
      <c r="T239" s="115"/>
      <c r="U239" s="115"/>
      <c r="V239" s="115"/>
      <c r="W239" s="115"/>
      <c r="X239" s="115"/>
      <c r="Y239" s="115"/>
      <c r="Z239" s="25">
        <v>45680</v>
      </c>
      <c r="AA239" s="13" t="s">
        <v>146</v>
      </c>
      <c r="AF239" s="116"/>
      <c r="AG239" s="123"/>
      <c r="AH239" s="123"/>
      <c r="AI239" s="123"/>
      <c r="AN239" s="115"/>
      <c r="AO239" s="115"/>
      <c r="AP239" s="115"/>
      <c r="AQ239" s="115"/>
      <c r="AR239" s="115"/>
      <c r="AS239" s="115"/>
      <c r="AT239" s="115"/>
      <c r="AU239" s="115"/>
      <c r="AV239" s="115"/>
      <c r="AW239" s="115"/>
      <c r="AX239" s="25"/>
      <c r="AY239" s="13"/>
      <c r="BB239" s="114"/>
    </row>
    <row r="240" spans="1:54" ht="19.5" x14ac:dyDescent="0.4">
      <c r="A240" s="117"/>
      <c r="B240" s="123"/>
      <c r="C240" s="123"/>
      <c r="D240" s="123"/>
      <c r="O240" s="26"/>
      <c r="P240" s="15"/>
      <c r="Q240" s="115"/>
      <c r="R240" s="115"/>
      <c r="S240" s="115"/>
      <c r="T240" s="115"/>
      <c r="U240" s="115"/>
      <c r="V240" s="115"/>
      <c r="W240" s="115"/>
      <c r="X240" s="115"/>
      <c r="Y240" s="115"/>
      <c r="Z240" s="25">
        <v>45680</v>
      </c>
      <c r="AA240" s="13" t="s">
        <v>146</v>
      </c>
      <c r="AF240" s="116"/>
      <c r="AG240" s="123"/>
      <c r="AH240" s="123"/>
      <c r="AI240" s="123"/>
      <c r="AN240" s="115"/>
      <c r="AO240" s="115"/>
      <c r="AP240" s="115"/>
      <c r="AQ240" s="115"/>
      <c r="AR240" s="115"/>
      <c r="AS240" s="115"/>
      <c r="AT240" s="115"/>
      <c r="AU240" s="115"/>
      <c r="AV240" s="115"/>
      <c r="AW240" s="115"/>
      <c r="AX240" s="25"/>
      <c r="AY240" s="13"/>
      <c r="BB240" s="114"/>
    </row>
    <row r="241" spans="1:54" ht="19.5" x14ac:dyDescent="0.4">
      <c r="A241" s="117"/>
      <c r="B241" s="123"/>
      <c r="C241" s="123"/>
      <c r="D241" s="123"/>
      <c r="F241" s="115"/>
      <c r="G241" s="115"/>
      <c r="H241" s="115"/>
      <c r="I241" s="115"/>
      <c r="J241" s="115"/>
      <c r="K241" s="115"/>
      <c r="L241" s="115"/>
      <c r="M241" s="115"/>
      <c r="N241" s="115"/>
      <c r="O241" s="26"/>
      <c r="P241" s="15"/>
      <c r="Q241" s="115"/>
      <c r="R241" s="115"/>
      <c r="S241" s="115"/>
      <c r="T241" s="115"/>
      <c r="U241" s="115"/>
      <c r="V241" s="115"/>
      <c r="W241" s="115"/>
      <c r="X241" s="115"/>
      <c r="Y241" s="115"/>
      <c r="Z241" s="25">
        <v>45680</v>
      </c>
      <c r="AA241" s="13" t="s">
        <v>147</v>
      </c>
      <c r="AF241" s="116"/>
      <c r="AG241" s="123"/>
      <c r="AH241" s="123"/>
      <c r="AI241" s="123"/>
      <c r="AN241" s="115"/>
      <c r="AO241" s="115"/>
      <c r="AP241" s="115"/>
      <c r="AQ241" s="115"/>
      <c r="AR241" s="115"/>
      <c r="AS241" s="115"/>
      <c r="AT241" s="115"/>
      <c r="AU241" s="115"/>
      <c r="AV241" s="115"/>
      <c r="AW241" s="115"/>
      <c r="AX241" s="25"/>
      <c r="AY241" s="13"/>
      <c r="BB241" s="114"/>
    </row>
    <row r="242" spans="1:54" ht="19.5" x14ac:dyDescent="0.4">
      <c r="A242" s="117"/>
      <c r="B242" s="123"/>
      <c r="C242" s="123"/>
      <c r="D242" s="123"/>
      <c r="F242" s="115"/>
      <c r="G242" s="115"/>
      <c r="H242" s="115"/>
      <c r="I242" s="115"/>
      <c r="J242" s="115"/>
      <c r="K242" s="115"/>
      <c r="L242" s="115"/>
      <c r="M242" s="115"/>
      <c r="N242" s="115"/>
      <c r="O242" s="26"/>
      <c r="P242" s="15"/>
      <c r="Q242" s="115"/>
      <c r="R242" s="115"/>
      <c r="S242" s="115"/>
      <c r="T242" s="115"/>
      <c r="U242" s="115"/>
      <c r="V242" s="115"/>
      <c r="W242" s="115"/>
      <c r="X242" s="115"/>
      <c r="Y242" s="115"/>
      <c r="Z242" s="25"/>
      <c r="AA242" s="13"/>
      <c r="AF242" s="116"/>
      <c r="AG242" s="123"/>
      <c r="AH242" s="123"/>
      <c r="AI242" s="123"/>
      <c r="AN242" s="115"/>
      <c r="AO242" s="115"/>
      <c r="AP242" s="115"/>
      <c r="AQ242" s="115"/>
      <c r="AR242" s="115"/>
      <c r="AS242" s="115"/>
      <c r="AT242" s="115"/>
      <c r="AU242" s="115"/>
      <c r="AV242" s="115"/>
      <c r="AW242" s="115"/>
      <c r="AX242" s="25"/>
      <c r="AY242" s="13"/>
      <c r="BB242" s="114"/>
    </row>
    <row r="243" spans="1:54" ht="19.5" x14ac:dyDescent="0.4">
      <c r="A243" s="117"/>
      <c r="B243" s="123"/>
      <c r="C243" s="123"/>
      <c r="D243" s="123"/>
      <c r="F243" s="115"/>
      <c r="G243" s="115"/>
      <c r="H243" s="115"/>
      <c r="I243" s="115"/>
      <c r="J243" s="115"/>
      <c r="K243" s="115"/>
      <c r="L243" s="115"/>
      <c r="M243" s="115"/>
      <c r="N243" s="115"/>
      <c r="O243" s="17"/>
      <c r="P243" s="15"/>
      <c r="Q243" s="115"/>
      <c r="R243" s="115"/>
      <c r="S243" s="115"/>
      <c r="T243" s="115"/>
      <c r="U243" s="115"/>
      <c r="V243" s="115"/>
      <c r="W243" s="115"/>
      <c r="X243" s="115"/>
      <c r="Y243" s="115"/>
      <c r="Z243" s="25"/>
      <c r="AA243" s="13"/>
      <c r="AF243" s="116"/>
      <c r="AG243" s="123"/>
      <c r="AH243" s="123"/>
      <c r="AI243" s="123"/>
      <c r="AN243" s="115"/>
      <c r="AO243" s="115"/>
      <c r="AP243" s="115"/>
      <c r="AQ243" s="115"/>
      <c r="AR243" s="115"/>
      <c r="AS243" s="115"/>
      <c r="AT243" s="115"/>
      <c r="AU243" s="115"/>
      <c r="AV243" s="115"/>
      <c r="AW243" s="115"/>
      <c r="AX243" s="25"/>
      <c r="AY243" s="13"/>
      <c r="BB243" s="114"/>
    </row>
    <row r="244" spans="1:54" ht="19.5" x14ac:dyDescent="0.4">
      <c r="A244" s="117"/>
      <c r="B244" s="123"/>
      <c r="C244" s="123"/>
      <c r="D244" s="123"/>
      <c r="F244" s="115"/>
      <c r="G244" s="115"/>
      <c r="H244" s="115"/>
      <c r="I244" s="115"/>
      <c r="J244" s="115"/>
      <c r="K244" s="115"/>
      <c r="L244" s="115"/>
      <c r="M244" s="115"/>
      <c r="N244" s="115"/>
      <c r="O244" s="26"/>
      <c r="P244" s="15"/>
      <c r="Q244" s="115"/>
      <c r="R244" s="115"/>
      <c r="S244" s="115"/>
      <c r="T244" s="115"/>
      <c r="U244" s="115"/>
      <c r="V244" s="115"/>
      <c r="W244" s="115"/>
      <c r="X244" s="115"/>
      <c r="Y244" s="115"/>
      <c r="Z244" s="25"/>
      <c r="AA244" s="13"/>
      <c r="AF244" s="116"/>
      <c r="AG244" s="123"/>
      <c r="AH244" s="123"/>
      <c r="AI244" s="123"/>
      <c r="AN244" s="115"/>
      <c r="AO244" s="115"/>
      <c r="AP244" s="115"/>
      <c r="AQ244" s="115"/>
      <c r="AR244" s="115"/>
      <c r="AS244" s="115"/>
      <c r="AT244" s="115"/>
      <c r="AU244" s="115"/>
      <c r="AV244" s="115"/>
      <c r="AW244" s="115"/>
      <c r="AX244" s="25"/>
      <c r="AY244" s="13"/>
      <c r="BB244" s="114"/>
    </row>
    <row r="245" spans="1:54" ht="19.5" x14ac:dyDescent="0.4">
      <c r="A245" s="117"/>
      <c r="B245" s="123"/>
      <c r="C245" s="123"/>
      <c r="D245" s="123"/>
      <c r="F245" s="115"/>
      <c r="G245" s="115"/>
      <c r="H245" s="115"/>
      <c r="I245" s="115"/>
      <c r="J245" s="115"/>
      <c r="K245" s="115"/>
      <c r="L245" s="115"/>
      <c r="M245" s="115"/>
      <c r="N245" s="115"/>
      <c r="O245" s="17"/>
      <c r="P245" s="15"/>
      <c r="Q245" s="115"/>
      <c r="R245" s="115"/>
      <c r="S245" s="115"/>
      <c r="T245" s="115"/>
      <c r="U245" s="115"/>
      <c r="V245" s="115"/>
      <c r="W245" s="115"/>
      <c r="X245" s="115"/>
      <c r="Y245" s="115"/>
      <c r="Z245" s="25"/>
      <c r="AA245" s="13"/>
      <c r="AF245" s="116"/>
      <c r="AG245" s="123"/>
      <c r="AH245" s="123"/>
      <c r="AI245" s="123"/>
      <c r="AN245" s="115"/>
      <c r="AO245" s="115"/>
      <c r="AP245" s="115"/>
      <c r="AQ245" s="115"/>
      <c r="AR245" s="115"/>
      <c r="AS245" s="115"/>
      <c r="AT245" s="115"/>
      <c r="AU245" s="115"/>
      <c r="AV245" s="115"/>
      <c r="AW245" s="115"/>
      <c r="AX245" s="25"/>
      <c r="AY245" s="13"/>
      <c r="BB245" s="114"/>
    </row>
    <row r="246" spans="1:54" ht="19.5" x14ac:dyDescent="0.4">
      <c r="A246" s="117"/>
      <c r="B246" s="123"/>
      <c r="C246" s="123"/>
      <c r="D246" s="123"/>
      <c r="F246" s="115"/>
      <c r="G246" s="115"/>
      <c r="H246" s="115"/>
      <c r="I246" s="115"/>
      <c r="J246" s="115"/>
      <c r="K246" s="115"/>
      <c r="L246" s="115"/>
      <c r="M246" s="115"/>
      <c r="N246" s="115"/>
      <c r="O246" s="26"/>
      <c r="P246" s="15"/>
      <c r="Q246" s="115"/>
      <c r="R246" s="115"/>
      <c r="S246" s="115"/>
      <c r="T246" s="115"/>
      <c r="U246" s="115"/>
      <c r="V246" s="115"/>
      <c r="W246" s="115"/>
      <c r="X246" s="115"/>
      <c r="Y246" s="115"/>
      <c r="Z246" s="25">
        <v>45680</v>
      </c>
      <c r="AA246" s="15" t="s">
        <v>142</v>
      </c>
      <c r="AF246" s="116"/>
      <c r="AG246" s="123"/>
      <c r="AH246" s="123"/>
      <c r="AI246" s="123"/>
      <c r="AN246" s="115"/>
      <c r="AO246" s="115"/>
      <c r="AP246" s="115"/>
      <c r="AQ246" s="115"/>
      <c r="AR246" s="115"/>
      <c r="AS246" s="115"/>
      <c r="AT246" s="115"/>
      <c r="AU246" s="115"/>
      <c r="AV246" s="115"/>
      <c r="AW246" s="115"/>
      <c r="AX246" s="25"/>
      <c r="AY246" s="13"/>
      <c r="BB246" s="114"/>
    </row>
    <row r="247" spans="1:54" ht="19.5" x14ac:dyDescent="0.4">
      <c r="A247" s="117"/>
      <c r="B247" s="123"/>
      <c r="C247" s="123"/>
      <c r="D247" s="123"/>
      <c r="F247" s="115"/>
      <c r="G247" s="115"/>
      <c r="H247" s="115"/>
      <c r="I247" s="115"/>
      <c r="J247" s="115"/>
      <c r="K247" s="115"/>
      <c r="L247" s="115"/>
      <c r="M247" s="115"/>
      <c r="N247" s="115"/>
      <c r="O247" s="17"/>
      <c r="P247" s="15"/>
      <c r="Q247" s="115"/>
      <c r="R247" s="115"/>
      <c r="S247" s="115"/>
      <c r="T247" s="115"/>
      <c r="U247" s="115"/>
      <c r="V247" s="115"/>
      <c r="W247" s="115"/>
      <c r="X247" s="115"/>
      <c r="Y247" s="115"/>
      <c r="Z247" s="25"/>
      <c r="AA247" s="15"/>
      <c r="AF247" s="116"/>
      <c r="AG247" s="123"/>
      <c r="AH247" s="123"/>
      <c r="AI247" s="123"/>
      <c r="AN247" s="115"/>
      <c r="AO247" s="115"/>
      <c r="AP247" s="115"/>
      <c r="AQ247" s="115"/>
      <c r="AR247" s="115"/>
      <c r="AS247" s="115"/>
      <c r="AT247" s="115"/>
      <c r="AU247" s="115"/>
      <c r="AV247" s="115"/>
      <c r="AW247" s="115"/>
      <c r="AX247" s="25"/>
      <c r="AY247" s="13"/>
      <c r="BB247" s="114"/>
    </row>
    <row r="248" spans="1:54" ht="19.5" x14ac:dyDescent="0.4">
      <c r="A248" s="117"/>
      <c r="B248" s="123"/>
      <c r="C248" s="123"/>
      <c r="D248" s="123"/>
      <c r="F248" s="115"/>
      <c r="G248" s="115"/>
      <c r="H248" s="115"/>
      <c r="I248" s="115"/>
      <c r="J248" s="115"/>
      <c r="K248" s="115"/>
      <c r="L248" s="115"/>
      <c r="M248" s="115"/>
      <c r="N248" s="115"/>
      <c r="O248" s="26"/>
      <c r="P248" s="15"/>
      <c r="Q248" s="115"/>
      <c r="R248" s="115"/>
      <c r="S248" s="115"/>
      <c r="T248" s="115"/>
      <c r="U248" s="115"/>
      <c r="V248" s="115"/>
      <c r="W248" s="115"/>
      <c r="X248" s="115"/>
      <c r="Y248" s="115"/>
      <c r="Z248" s="25"/>
      <c r="AA248" s="15"/>
      <c r="AF248" s="116"/>
      <c r="AG248" s="123"/>
      <c r="AH248" s="123"/>
      <c r="AI248" s="123"/>
      <c r="AN248" s="115"/>
      <c r="AO248" s="115"/>
      <c r="AP248" s="115"/>
      <c r="AQ248" s="115"/>
      <c r="AR248" s="115"/>
      <c r="AS248" s="115"/>
      <c r="AT248" s="115"/>
      <c r="AU248" s="115"/>
      <c r="AV248" s="115"/>
      <c r="AW248" s="115"/>
      <c r="AX248" s="25"/>
      <c r="AY248" s="13"/>
      <c r="BB248" s="114"/>
    </row>
    <row r="249" spans="1:54" ht="19.5" x14ac:dyDescent="0.4">
      <c r="A249" s="117"/>
      <c r="B249" s="123"/>
      <c r="C249" s="123"/>
      <c r="D249" s="123"/>
      <c r="F249" s="115"/>
      <c r="G249" s="115"/>
      <c r="H249" s="115"/>
      <c r="I249" s="115"/>
      <c r="J249" s="115"/>
      <c r="K249" s="115"/>
      <c r="L249" s="115"/>
      <c r="M249" s="115"/>
      <c r="N249" s="115"/>
      <c r="O249" s="26"/>
      <c r="P249" s="15"/>
      <c r="Q249" s="115"/>
      <c r="R249" s="115"/>
      <c r="S249" s="115"/>
      <c r="T249" s="115"/>
      <c r="U249" s="115"/>
      <c r="V249" s="115"/>
      <c r="W249" s="115"/>
      <c r="X249" s="115"/>
      <c r="Y249" s="115"/>
      <c r="Z249" s="25">
        <v>45680</v>
      </c>
      <c r="AA249" s="15" t="s">
        <v>146</v>
      </c>
      <c r="AF249" s="116"/>
      <c r="AG249" s="123"/>
      <c r="AH249" s="123"/>
      <c r="AI249" s="123"/>
      <c r="AN249" s="115"/>
      <c r="AO249" s="115"/>
      <c r="AP249" s="115"/>
      <c r="AQ249" s="115"/>
      <c r="AR249" s="115"/>
      <c r="AS249" s="115"/>
      <c r="AT249" s="115"/>
      <c r="AU249" s="115"/>
      <c r="AV249" s="115"/>
      <c r="AW249" s="115"/>
      <c r="AX249" s="25"/>
      <c r="AY249" s="13"/>
      <c r="BB249" s="114"/>
    </row>
    <row r="250" spans="1:54" ht="19.5" x14ac:dyDescent="0.4">
      <c r="A250" s="117"/>
      <c r="B250" s="123"/>
      <c r="C250" s="123"/>
      <c r="D250" s="123"/>
      <c r="F250" s="115"/>
      <c r="G250" s="115"/>
      <c r="H250" s="115"/>
      <c r="I250" s="115"/>
      <c r="J250" s="115"/>
      <c r="K250" s="115"/>
      <c r="L250" s="115"/>
      <c r="M250" s="115"/>
      <c r="N250" s="115"/>
      <c r="O250" s="26"/>
      <c r="P250" s="15"/>
      <c r="Q250" s="115"/>
      <c r="R250" s="115"/>
      <c r="S250" s="115"/>
      <c r="T250" s="115"/>
      <c r="U250" s="115"/>
      <c r="V250" s="115"/>
      <c r="W250" s="115"/>
      <c r="X250" s="115"/>
      <c r="Y250" s="115"/>
      <c r="Z250" s="25"/>
      <c r="AA250" s="15"/>
      <c r="AF250" s="116"/>
      <c r="AG250" s="123"/>
      <c r="AH250" s="123"/>
      <c r="AI250" s="123"/>
      <c r="AN250" s="115"/>
      <c r="AO250" s="115"/>
      <c r="AP250" s="115"/>
      <c r="AQ250" s="115"/>
      <c r="AR250" s="115"/>
      <c r="AS250" s="115"/>
      <c r="AT250" s="115"/>
      <c r="AU250" s="115"/>
      <c r="AV250" s="115"/>
      <c r="AW250" s="115"/>
      <c r="AX250" s="25"/>
      <c r="AY250" s="13"/>
      <c r="BB250" s="114"/>
    </row>
    <row r="251" spans="1:54" ht="19.5" x14ac:dyDescent="0.4">
      <c r="A251" s="117"/>
      <c r="B251" s="123"/>
      <c r="C251" s="123"/>
      <c r="D251" s="123"/>
      <c r="F251" s="115"/>
      <c r="G251" s="115"/>
      <c r="H251" s="115"/>
      <c r="I251" s="115"/>
      <c r="J251" s="115"/>
      <c r="K251" s="115"/>
      <c r="L251" s="115"/>
      <c r="M251" s="115"/>
      <c r="N251" s="115"/>
      <c r="O251" s="26"/>
      <c r="P251" s="15"/>
      <c r="Q251" s="115"/>
      <c r="R251" s="115"/>
      <c r="S251" s="115"/>
      <c r="T251" s="115"/>
      <c r="U251" s="115"/>
      <c r="V251" s="115"/>
      <c r="W251" s="115"/>
      <c r="X251" s="115"/>
      <c r="Y251" s="115"/>
      <c r="Z251" s="25">
        <v>45680</v>
      </c>
      <c r="AA251" s="15" t="s">
        <v>146</v>
      </c>
      <c r="AF251" s="116"/>
      <c r="AG251" s="123"/>
      <c r="AH251" s="123"/>
      <c r="AI251" s="123"/>
      <c r="AN251" s="115"/>
      <c r="AO251" s="115"/>
      <c r="AP251" s="115"/>
      <c r="AQ251" s="115"/>
      <c r="AR251" s="115"/>
      <c r="AS251" s="115"/>
      <c r="AT251" s="115"/>
      <c r="AU251" s="115"/>
      <c r="AV251" s="115"/>
      <c r="AW251" s="115"/>
      <c r="AX251" s="25"/>
      <c r="AY251" s="13"/>
      <c r="BB251" s="114"/>
    </row>
    <row r="252" spans="1:54" ht="19.5" x14ac:dyDescent="0.4">
      <c r="A252" s="117"/>
      <c r="B252" s="123"/>
      <c r="C252" s="123"/>
      <c r="D252" s="123"/>
      <c r="F252" s="115"/>
      <c r="G252" s="115"/>
      <c r="H252" s="115"/>
      <c r="I252" s="115"/>
      <c r="J252" s="115"/>
      <c r="K252" s="115"/>
      <c r="L252" s="115"/>
      <c r="M252" s="115"/>
      <c r="N252" s="115"/>
      <c r="O252" s="26"/>
      <c r="P252" s="15"/>
      <c r="Q252" s="115"/>
      <c r="R252" s="115"/>
      <c r="S252" s="115"/>
      <c r="T252" s="115"/>
      <c r="U252" s="115"/>
      <c r="V252" s="115"/>
      <c r="W252" s="115"/>
      <c r="X252" s="115"/>
      <c r="Y252" s="115"/>
      <c r="Z252" s="25"/>
      <c r="AA252" s="15"/>
      <c r="AF252" s="116"/>
      <c r="AG252" s="123"/>
      <c r="AH252" s="123"/>
      <c r="AI252" s="123"/>
      <c r="AN252" s="115"/>
      <c r="AO252" s="115"/>
      <c r="AP252" s="115"/>
      <c r="AQ252" s="115"/>
      <c r="AR252" s="115"/>
      <c r="AS252" s="115"/>
      <c r="AT252" s="115"/>
      <c r="AU252" s="115"/>
      <c r="AV252" s="115"/>
      <c r="AW252" s="115"/>
      <c r="AX252" s="25"/>
      <c r="AY252" s="13"/>
      <c r="BB252" s="114"/>
    </row>
    <row r="253" spans="1:54" ht="19.5" x14ac:dyDescent="0.4">
      <c r="A253" s="117"/>
      <c r="B253" s="123"/>
      <c r="C253" s="123"/>
      <c r="D253" s="123"/>
      <c r="F253" s="115"/>
      <c r="G253" s="115"/>
      <c r="H253" s="115"/>
      <c r="I253" s="115"/>
      <c r="J253" s="115"/>
      <c r="K253" s="115"/>
      <c r="L253" s="115"/>
      <c r="M253" s="115"/>
      <c r="N253" s="115"/>
      <c r="O253" s="26"/>
      <c r="P253" s="15"/>
      <c r="Q253" s="115"/>
      <c r="R253" s="115"/>
      <c r="S253" s="115"/>
      <c r="T253" s="115"/>
      <c r="U253" s="115"/>
      <c r="V253" s="115"/>
      <c r="W253" s="115"/>
      <c r="X253" s="115"/>
      <c r="Y253" s="115"/>
      <c r="Z253" s="25"/>
      <c r="AA253" s="15"/>
      <c r="AF253" s="116"/>
      <c r="AG253" s="123"/>
      <c r="AH253" s="123"/>
      <c r="AI253" s="123"/>
      <c r="AN253" s="115"/>
      <c r="AO253" s="115"/>
      <c r="AP253" s="115"/>
      <c r="AQ253" s="115"/>
      <c r="AR253" s="115"/>
      <c r="AS253" s="115"/>
      <c r="AT253" s="115"/>
      <c r="AU253" s="115"/>
      <c r="AV253" s="115"/>
      <c r="AW253" s="115"/>
      <c r="AX253" s="25"/>
      <c r="AY253" s="13"/>
      <c r="BB253" s="114"/>
    </row>
    <row r="254" spans="1:54" ht="19.5" x14ac:dyDescent="0.4">
      <c r="A254" s="117"/>
      <c r="B254" s="123"/>
      <c r="C254" s="123"/>
      <c r="D254" s="123"/>
      <c r="F254" s="115"/>
      <c r="G254" s="115"/>
      <c r="H254" s="115"/>
      <c r="I254" s="115"/>
      <c r="J254" s="115"/>
      <c r="K254" s="115"/>
      <c r="L254" s="115"/>
      <c r="M254" s="115"/>
      <c r="N254" s="115"/>
      <c r="O254" s="26"/>
      <c r="P254" s="15"/>
      <c r="Q254" s="115"/>
      <c r="R254" s="115"/>
      <c r="S254" s="115"/>
      <c r="T254" s="115"/>
      <c r="U254" s="115"/>
      <c r="V254" s="115"/>
      <c r="W254" s="115"/>
      <c r="X254" s="115"/>
      <c r="Y254" s="115"/>
      <c r="Z254" s="25"/>
      <c r="AA254" s="15"/>
      <c r="AF254" s="116"/>
      <c r="AG254" s="123"/>
      <c r="AH254" s="123"/>
      <c r="AI254" s="123"/>
      <c r="AN254" s="115"/>
      <c r="AO254" s="115"/>
      <c r="AP254" s="115"/>
      <c r="AQ254" s="115"/>
      <c r="AR254" s="115"/>
      <c r="AS254" s="115"/>
      <c r="AT254" s="115"/>
      <c r="AU254" s="115"/>
      <c r="AV254" s="115"/>
      <c r="AW254" s="115"/>
      <c r="AX254" s="25"/>
      <c r="AY254" s="13"/>
      <c r="BB254" s="114"/>
    </row>
    <row r="255" spans="1:54" ht="19.5" x14ac:dyDescent="0.4">
      <c r="A255" s="117"/>
      <c r="B255" s="123"/>
      <c r="C255" s="123"/>
      <c r="D255" s="123"/>
      <c r="F255" s="115"/>
      <c r="G255" s="115"/>
      <c r="H255" s="115"/>
      <c r="I255" s="115"/>
      <c r="J255" s="115"/>
      <c r="K255" s="115"/>
      <c r="L255" s="115"/>
      <c r="M255" s="115"/>
      <c r="N255" s="115"/>
      <c r="O255" s="26"/>
      <c r="P255" s="15"/>
      <c r="Q255" s="115"/>
      <c r="R255" s="115"/>
      <c r="S255" s="115"/>
      <c r="T255" s="115"/>
      <c r="U255" s="115"/>
      <c r="V255" s="115"/>
      <c r="W255" s="115"/>
      <c r="X255" s="115"/>
      <c r="Y255" s="115"/>
      <c r="Z255" s="25">
        <v>45680</v>
      </c>
      <c r="AA255" s="15" t="s">
        <v>146</v>
      </c>
      <c r="AF255" s="116"/>
      <c r="AG255" s="123"/>
      <c r="AH255" s="123"/>
      <c r="AI255" s="123"/>
      <c r="AN255" s="115"/>
      <c r="AO255" s="115"/>
      <c r="AP255" s="115"/>
      <c r="AQ255" s="115"/>
      <c r="AR255" s="115"/>
      <c r="AS255" s="115"/>
      <c r="AT255" s="115"/>
      <c r="AU255" s="115"/>
      <c r="AV255" s="115"/>
      <c r="AW255" s="115"/>
      <c r="AX255" s="25"/>
      <c r="AY255" s="13"/>
      <c r="BB255" s="114"/>
    </row>
    <row r="256" spans="1:54" ht="19.5" x14ac:dyDescent="0.4">
      <c r="A256" s="117"/>
      <c r="B256" s="123"/>
      <c r="C256" s="123"/>
      <c r="D256" s="123"/>
      <c r="F256" s="115"/>
      <c r="G256" s="115"/>
      <c r="H256" s="115"/>
      <c r="I256" s="115"/>
      <c r="J256" s="115"/>
      <c r="K256" s="115"/>
      <c r="L256" s="115"/>
      <c r="M256" s="115"/>
      <c r="N256" s="115"/>
      <c r="O256" s="26"/>
      <c r="P256" s="15"/>
      <c r="Q256" s="115"/>
      <c r="R256" s="115"/>
      <c r="S256" s="115"/>
      <c r="T256" s="115"/>
      <c r="U256" s="115"/>
      <c r="V256" s="115"/>
      <c r="W256" s="115"/>
      <c r="X256" s="115"/>
      <c r="Y256" s="115"/>
      <c r="Z256" s="25"/>
      <c r="AA256" s="15"/>
      <c r="AF256" s="116"/>
      <c r="AG256" s="123"/>
      <c r="AH256" s="123"/>
      <c r="AI256" s="123"/>
      <c r="AN256" s="115"/>
      <c r="AO256" s="115"/>
      <c r="AP256" s="115"/>
      <c r="AQ256" s="115"/>
      <c r="AR256" s="115"/>
      <c r="AS256" s="115"/>
      <c r="AT256" s="115"/>
      <c r="AU256" s="115"/>
      <c r="AV256" s="115"/>
      <c r="AW256" s="115"/>
      <c r="AX256" s="25"/>
      <c r="AY256" s="13"/>
      <c r="BB256" s="114"/>
    </row>
    <row r="257" spans="1:54" ht="19.5" x14ac:dyDescent="0.4">
      <c r="A257" s="117"/>
      <c r="B257" s="123"/>
      <c r="C257" s="123"/>
      <c r="D257" s="123"/>
      <c r="F257" s="115"/>
      <c r="G257" s="115"/>
      <c r="H257" s="115"/>
      <c r="I257" s="115"/>
      <c r="J257" s="115"/>
      <c r="K257" s="115"/>
      <c r="L257" s="115"/>
      <c r="M257" s="115"/>
      <c r="N257" s="115"/>
      <c r="O257" s="17"/>
      <c r="P257" s="15"/>
      <c r="Q257" s="115"/>
      <c r="R257" s="115"/>
      <c r="S257" s="115"/>
      <c r="T257" s="115"/>
      <c r="U257" s="115"/>
      <c r="V257" s="115"/>
      <c r="W257" s="115"/>
      <c r="X257" s="115"/>
      <c r="Y257" s="115"/>
      <c r="Z257" s="25"/>
      <c r="AA257" s="15"/>
      <c r="AF257" s="116"/>
      <c r="AG257" s="123"/>
      <c r="AH257" s="123"/>
      <c r="AI257" s="123"/>
      <c r="AN257" s="115"/>
      <c r="AO257" s="115"/>
      <c r="AP257" s="115"/>
      <c r="AQ257" s="115"/>
      <c r="AR257" s="115"/>
      <c r="AS257" s="115"/>
      <c r="AT257" s="115"/>
      <c r="AU257" s="115"/>
      <c r="AV257" s="115"/>
      <c r="AW257" s="115"/>
      <c r="AX257" s="25"/>
      <c r="AY257" s="13"/>
      <c r="BB257" s="114"/>
    </row>
    <row r="258" spans="1:54" ht="19.5" x14ac:dyDescent="0.4">
      <c r="A258" s="117"/>
      <c r="B258" s="123"/>
      <c r="C258" s="123"/>
      <c r="D258" s="123"/>
      <c r="F258" s="115"/>
      <c r="G258" s="115"/>
      <c r="H258" s="115"/>
      <c r="I258" s="115"/>
      <c r="J258" s="115"/>
      <c r="K258" s="115"/>
      <c r="L258" s="115"/>
      <c r="M258" s="115"/>
      <c r="N258" s="115"/>
      <c r="O258" s="26"/>
      <c r="P258" s="15"/>
      <c r="Q258" s="115"/>
      <c r="R258" s="115"/>
      <c r="S258" s="115"/>
      <c r="T258" s="115"/>
      <c r="U258" s="115"/>
      <c r="V258" s="115"/>
      <c r="W258" s="115"/>
      <c r="X258" s="115"/>
      <c r="Y258" s="115"/>
      <c r="Z258" s="25">
        <v>45680</v>
      </c>
      <c r="AA258" s="15" t="s">
        <v>147</v>
      </c>
      <c r="AF258" s="116"/>
      <c r="AG258" s="123"/>
      <c r="AH258" s="123"/>
      <c r="AI258" s="123"/>
      <c r="AN258" s="115"/>
      <c r="AO258" s="115"/>
      <c r="AP258" s="115"/>
      <c r="AQ258" s="115"/>
      <c r="AR258" s="115"/>
      <c r="AS258" s="115"/>
      <c r="AT258" s="115"/>
      <c r="AU258" s="115"/>
      <c r="AV258" s="115"/>
      <c r="AW258" s="115"/>
      <c r="AX258" s="25"/>
      <c r="AY258" s="13"/>
      <c r="BB258" s="114"/>
    </row>
    <row r="259" spans="1:54" ht="19.5" x14ac:dyDescent="0.4">
      <c r="A259" s="117"/>
      <c r="B259" s="123"/>
      <c r="C259" s="123"/>
      <c r="D259" s="123"/>
      <c r="F259" s="115"/>
      <c r="G259" s="115"/>
      <c r="H259" s="115"/>
      <c r="I259" s="115"/>
      <c r="J259" s="115"/>
      <c r="K259" s="115"/>
      <c r="L259" s="115"/>
      <c r="M259" s="115"/>
      <c r="N259" s="115"/>
      <c r="O259" s="17"/>
      <c r="P259" s="15"/>
      <c r="Q259" s="115"/>
      <c r="R259" s="115"/>
      <c r="S259" s="115"/>
      <c r="T259" s="115"/>
      <c r="U259" s="115"/>
      <c r="V259" s="115"/>
      <c r="W259" s="115"/>
      <c r="X259" s="115"/>
      <c r="Y259" s="115"/>
      <c r="Z259" s="25"/>
      <c r="AA259" s="13"/>
      <c r="AF259" s="116"/>
      <c r="AG259" s="123"/>
      <c r="AH259" s="123"/>
      <c r="AI259" s="123"/>
      <c r="AN259" s="115"/>
      <c r="AO259" s="115"/>
      <c r="AP259" s="115"/>
      <c r="AQ259" s="115"/>
      <c r="AR259" s="115"/>
      <c r="AS259" s="115"/>
      <c r="AT259" s="115"/>
      <c r="AU259" s="115"/>
      <c r="AV259" s="115"/>
      <c r="AW259" s="115"/>
      <c r="AX259" s="25"/>
      <c r="AY259" s="13"/>
      <c r="BB259" s="114"/>
    </row>
    <row r="260" spans="1:54" ht="19.5" x14ac:dyDescent="0.4">
      <c r="A260" s="117"/>
      <c r="B260" s="123"/>
      <c r="C260" s="123"/>
      <c r="D260" s="123"/>
      <c r="F260" s="115"/>
      <c r="G260" s="115"/>
      <c r="H260" s="115"/>
      <c r="I260" s="115"/>
      <c r="J260" s="115"/>
      <c r="K260" s="115"/>
      <c r="L260" s="115"/>
      <c r="M260" s="115"/>
      <c r="N260" s="115"/>
      <c r="O260" s="26"/>
      <c r="P260" s="15"/>
      <c r="Q260" s="115"/>
      <c r="R260" s="115"/>
      <c r="S260" s="115"/>
      <c r="T260" s="115"/>
      <c r="U260" s="115"/>
      <c r="V260" s="115"/>
      <c r="W260" s="115"/>
      <c r="X260" s="115"/>
      <c r="Y260" s="115"/>
      <c r="Z260" s="25"/>
      <c r="AA260" s="13"/>
      <c r="AF260" s="116"/>
      <c r="AG260" s="123"/>
      <c r="AH260" s="123"/>
      <c r="AI260" s="123"/>
      <c r="AN260" s="115"/>
      <c r="AO260" s="115"/>
      <c r="AP260" s="115"/>
      <c r="AQ260" s="115"/>
      <c r="AR260" s="115"/>
      <c r="AS260" s="115"/>
      <c r="AT260" s="115"/>
      <c r="AU260" s="115"/>
      <c r="AV260" s="115"/>
      <c r="AW260" s="115"/>
      <c r="AX260" s="25"/>
      <c r="AY260" s="13"/>
      <c r="BB260" s="114"/>
    </row>
    <row r="261" spans="1:54" ht="19.5" x14ac:dyDescent="0.4">
      <c r="A261" s="117"/>
      <c r="B261" s="123"/>
      <c r="C261" s="123"/>
      <c r="D261" s="123"/>
      <c r="F261" s="115"/>
      <c r="G261" s="115"/>
      <c r="H261" s="115"/>
      <c r="I261" s="115"/>
      <c r="J261" s="115"/>
      <c r="K261" s="115"/>
      <c r="L261" s="115"/>
      <c r="M261" s="115"/>
      <c r="N261" s="115"/>
      <c r="O261" s="26"/>
      <c r="P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25"/>
      <c r="AA261" s="13"/>
      <c r="AF261" s="116"/>
      <c r="AG261" s="123"/>
      <c r="AH261" s="123"/>
      <c r="AI261" s="123"/>
      <c r="AN261" s="115"/>
      <c r="AO261" s="115"/>
      <c r="AP261" s="115"/>
      <c r="AQ261" s="115"/>
      <c r="AR261" s="115"/>
      <c r="AS261" s="115"/>
      <c r="AT261" s="115"/>
      <c r="AU261" s="115"/>
      <c r="AV261" s="115"/>
      <c r="AW261" s="115"/>
      <c r="AX261" s="25"/>
      <c r="AY261" s="13"/>
      <c r="BB261" s="114"/>
    </row>
    <row r="262" spans="1:54" ht="19.5" x14ac:dyDescent="0.4">
      <c r="A262" s="117"/>
      <c r="B262" s="123"/>
      <c r="C262" s="123"/>
      <c r="D262" s="123"/>
      <c r="F262" s="115"/>
      <c r="G262" s="115"/>
      <c r="H262" s="115"/>
      <c r="I262" s="115"/>
      <c r="J262" s="115"/>
      <c r="K262" s="115"/>
      <c r="L262" s="115"/>
      <c r="M262" s="115"/>
      <c r="N262" s="115"/>
      <c r="O262" s="17"/>
      <c r="P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25"/>
      <c r="AA262" s="13"/>
      <c r="AF262" s="116"/>
      <c r="AG262" s="123"/>
      <c r="AH262" s="123"/>
      <c r="AI262" s="123"/>
      <c r="AN262" s="115"/>
      <c r="AO262" s="115"/>
      <c r="AP262" s="115"/>
      <c r="AQ262" s="115"/>
      <c r="AR262" s="115"/>
      <c r="AS262" s="115"/>
      <c r="AT262" s="115"/>
      <c r="AU262" s="115"/>
      <c r="AV262" s="115"/>
      <c r="AW262" s="115"/>
      <c r="AX262" s="25"/>
      <c r="AY262" s="13"/>
      <c r="BB262" s="114"/>
    </row>
    <row r="263" spans="1:54" ht="19.5" x14ac:dyDescent="0.4">
      <c r="A263" s="117"/>
      <c r="B263" s="123"/>
      <c r="C263" s="123"/>
      <c r="D263" s="123"/>
      <c r="F263" s="115"/>
      <c r="G263" s="115"/>
      <c r="H263" s="115"/>
      <c r="I263" s="115"/>
      <c r="J263" s="115"/>
      <c r="K263" s="115"/>
      <c r="L263" s="115"/>
      <c r="M263" s="115"/>
      <c r="N263" s="115"/>
      <c r="O263" s="17"/>
      <c r="P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25"/>
      <c r="AA263" s="13"/>
      <c r="AF263" s="116"/>
      <c r="AG263" s="123"/>
      <c r="AH263" s="123"/>
      <c r="AI263" s="123"/>
      <c r="AN263" s="115"/>
      <c r="AO263" s="115"/>
      <c r="AP263" s="115"/>
      <c r="AQ263" s="115"/>
      <c r="AR263" s="115"/>
      <c r="AS263" s="115"/>
      <c r="AT263" s="115"/>
      <c r="AU263" s="115"/>
      <c r="AV263" s="115"/>
      <c r="AW263" s="115"/>
      <c r="AX263" s="25"/>
      <c r="AY263" s="13"/>
      <c r="BB263" s="114"/>
    </row>
    <row r="264" spans="1:54" ht="19.5" x14ac:dyDescent="0.4">
      <c r="A264" s="117"/>
      <c r="B264" s="123"/>
      <c r="C264" s="123"/>
      <c r="D264" s="123"/>
      <c r="F264" s="115"/>
      <c r="G264" s="115"/>
      <c r="H264" s="115"/>
      <c r="I264" s="115"/>
      <c r="J264" s="115"/>
      <c r="K264" s="115"/>
      <c r="L264" s="115"/>
      <c r="M264" s="115"/>
      <c r="N264" s="115"/>
      <c r="O264" s="26"/>
      <c r="P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25"/>
      <c r="AA264" s="13"/>
      <c r="AF264" s="116"/>
      <c r="AG264" s="123"/>
      <c r="AH264" s="123"/>
      <c r="AI264" s="123"/>
      <c r="AN264" s="115"/>
      <c r="AO264" s="115"/>
      <c r="AP264" s="115"/>
      <c r="AQ264" s="115"/>
      <c r="AR264" s="115"/>
      <c r="AS264" s="115"/>
      <c r="AT264" s="115"/>
      <c r="AU264" s="115"/>
      <c r="AV264" s="115"/>
      <c r="AW264" s="115"/>
      <c r="AX264" s="25"/>
      <c r="AY264" s="13"/>
      <c r="BB264" s="114"/>
    </row>
    <row r="265" spans="1:54" ht="19.5" x14ac:dyDescent="0.4">
      <c r="A265" s="117"/>
      <c r="B265" s="123"/>
      <c r="C265" s="123"/>
      <c r="D265" s="123"/>
      <c r="F265" s="115"/>
      <c r="G265" s="115"/>
      <c r="H265" s="115"/>
      <c r="I265" s="115"/>
      <c r="J265" s="115"/>
      <c r="K265" s="115"/>
      <c r="L265" s="115"/>
      <c r="M265" s="115"/>
      <c r="N265" s="115"/>
      <c r="O265" s="26"/>
      <c r="P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25"/>
      <c r="AA265" s="13"/>
      <c r="AF265" s="116"/>
      <c r="AG265" s="123"/>
      <c r="AH265" s="123"/>
      <c r="AI265" s="123"/>
      <c r="AN265" s="115"/>
      <c r="AO265" s="115"/>
      <c r="AP265" s="115"/>
      <c r="AQ265" s="115"/>
      <c r="AR265" s="115"/>
      <c r="AS265" s="115"/>
      <c r="AT265" s="115"/>
      <c r="AU265" s="115"/>
      <c r="AV265" s="115"/>
      <c r="AW265" s="115"/>
      <c r="AX265" s="25"/>
      <c r="AY265" s="13"/>
      <c r="BB265" s="114"/>
    </row>
    <row r="266" spans="1:54" ht="19.5" x14ac:dyDescent="0.4">
      <c r="A266" s="117"/>
      <c r="B266" s="123"/>
      <c r="C266" s="123"/>
      <c r="D266" s="123"/>
      <c r="F266" s="115"/>
      <c r="G266" s="115"/>
      <c r="H266" s="115"/>
      <c r="I266" s="115"/>
      <c r="J266" s="115"/>
      <c r="K266" s="115"/>
      <c r="L266" s="115"/>
      <c r="M266" s="115"/>
      <c r="N266" s="115"/>
      <c r="O266" s="26"/>
      <c r="P266" s="13"/>
      <c r="Q266" s="115"/>
      <c r="R266" s="115"/>
      <c r="S266" s="115"/>
      <c r="T266" s="115"/>
      <c r="U266" s="115"/>
      <c r="V266" s="115"/>
      <c r="W266" s="115"/>
      <c r="X266" s="115"/>
      <c r="Y266" s="115"/>
      <c r="Z266" s="25"/>
      <c r="AA266" s="13"/>
      <c r="AF266" s="116"/>
      <c r="AG266" s="123"/>
      <c r="AH266" s="123"/>
      <c r="AI266" s="123"/>
      <c r="AN266" s="115"/>
      <c r="AO266" s="115"/>
      <c r="AP266" s="115"/>
      <c r="AQ266" s="115"/>
      <c r="AR266" s="115"/>
      <c r="AS266" s="115"/>
      <c r="AT266" s="115"/>
      <c r="AU266" s="115"/>
      <c r="AV266" s="115"/>
      <c r="AW266" s="115"/>
      <c r="AX266" s="25"/>
      <c r="AY266" s="13"/>
      <c r="BB266" s="114"/>
    </row>
    <row r="267" spans="1:54" ht="19.5" x14ac:dyDescent="0.4">
      <c r="A267" s="117"/>
      <c r="B267" s="123"/>
      <c r="C267" s="123"/>
      <c r="D267" s="123"/>
      <c r="F267" s="115"/>
      <c r="G267" s="115"/>
      <c r="H267" s="115"/>
      <c r="I267" s="115"/>
      <c r="J267" s="115"/>
      <c r="K267" s="115"/>
      <c r="L267" s="115"/>
      <c r="M267" s="115"/>
      <c r="N267" s="115"/>
      <c r="O267" s="26"/>
      <c r="P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25"/>
      <c r="AA267" s="13"/>
      <c r="AF267" s="116"/>
      <c r="AG267" s="123"/>
      <c r="AH267" s="123"/>
      <c r="AI267" s="123"/>
      <c r="AN267" s="115"/>
      <c r="AO267" s="115"/>
      <c r="AP267" s="115"/>
      <c r="AQ267" s="115"/>
      <c r="AR267" s="115"/>
      <c r="AS267" s="115"/>
      <c r="AT267" s="115"/>
      <c r="AU267" s="115"/>
      <c r="AV267" s="115"/>
      <c r="AW267" s="115"/>
      <c r="AX267" s="25"/>
      <c r="AY267" s="13"/>
      <c r="BB267" s="114"/>
    </row>
    <row r="268" spans="1:54" ht="19.5" x14ac:dyDescent="0.4">
      <c r="A268" s="117"/>
      <c r="B268" s="123"/>
      <c r="C268" s="123"/>
      <c r="D268" s="123"/>
      <c r="F268" s="115"/>
      <c r="G268" s="115"/>
      <c r="H268" s="115"/>
      <c r="I268" s="115"/>
      <c r="J268" s="115"/>
      <c r="K268" s="115"/>
      <c r="L268" s="115"/>
      <c r="M268" s="115"/>
      <c r="N268" s="115"/>
      <c r="O268" s="26"/>
      <c r="P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25">
        <v>45680</v>
      </c>
      <c r="AA268" s="13" t="s">
        <v>146</v>
      </c>
      <c r="AF268" s="116"/>
      <c r="AG268" s="123"/>
      <c r="AH268" s="123"/>
      <c r="AI268" s="123"/>
      <c r="AN268" s="115"/>
      <c r="AO268" s="115"/>
      <c r="AP268" s="115"/>
      <c r="AQ268" s="115"/>
      <c r="AR268" s="115"/>
      <c r="AS268" s="115"/>
      <c r="AT268" s="115"/>
      <c r="AU268" s="115"/>
      <c r="AV268" s="115"/>
      <c r="AW268" s="115"/>
      <c r="AX268" s="25"/>
      <c r="AY268" s="13"/>
      <c r="BB268" s="114"/>
    </row>
    <row r="269" spans="1:54" ht="19.5" x14ac:dyDescent="0.4">
      <c r="A269" s="117"/>
      <c r="B269" s="123"/>
      <c r="C269" s="123"/>
      <c r="D269" s="123"/>
      <c r="F269" s="115"/>
      <c r="G269" s="115"/>
      <c r="H269" s="115"/>
      <c r="I269" s="115"/>
      <c r="J269" s="115"/>
      <c r="K269" s="115"/>
      <c r="L269" s="115"/>
      <c r="M269" s="115"/>
      <c r="N269" s="115"/>
      <c r="O269" s="17"/>
      <c r="P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25"/>
      <c r="AA269" s="13"/>
      <c r="AF269" s="116"/>
      <c r="AG269" s="123"/>
      <c r="AH269" s="123"/>
      <c r="AI269" s="123"/>
      <c r="AN269" s="115"/>
      <c r="AO269" s="115"/>
      <c r="AP269" s="115"/>
      <c r="AQ269" s="115"/>
      <c r="AR269" s="115"/>
      <c r="AS269" s="115"/>
      <c r="AT269" s="115"/>
      <c r="AU269" s="115"/>
      <c r="AV269" s="115"/>
      <c r="AW269" s="115"/>
      <c r="AX269" s="25"/>
      <c r="AY269" s="13"/>
      <c r="BB269" s="114"/>
    </row>
    <row r="270" spans="1:54" ht="19.5" x14ac:dyDescent="0.4">
      <c r="A270" s="117"/>
      <c r="B270" s="123"/>
      <c r="C270" s="123"/>
      <c r="D270" s="123"/>
      <c r="F270" s="115"/>
      <c r="G270" s="115"/>
      <c r="H270" s="115"/>
      <c r="I270" s="115"/>
      <c r="J270" s="115"/>
      <c r="K270" s="115"/>
      <c r="L270" s="115"/>
      <c r="M270" s="115"/>
      <c r="N270" s="115"/>
      <c r="O270" s="26"/>
      <c r="P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25">
        <v>45680</v>
      </c>
      <c r="AA270" s="13" t="s">
        <v>147</v>
      </c>
      <c r="AF270" s="116"/>
      <c r="AG270" s="123"/>
      <c r="AH270" s="123"/>
      <c r="AI270" s="123"/>
      <c r="AN270" s="115"/>
      <c r="AO270" s="115"/>
      <c r="AP270" s="115"/>
      <c r="AQ270" s="115"/>
      <c r="AR270" s="115"/>
      <c r="AS270" s="115"/>
      <c r="AT270" s="115"/>
      <c r="AU270" s="115"/>
      <c r="AV270" s="115"/>
      <c r="AW270" s="115"/>
      <c r="AX270" s="25"/>
      <c r="AY270" s="13"/>
      <c r="BB270" s="114"/>
    </row>
    <row r="271" spans="1:54" ht="19.5" x14ac:dyDescent="0.4">
      <c r="A271" s="117"/>
      <c r="B271" s="123"/>
      <c r="C271" s="123"/>
      <c r="D271" s="123"/>
      <c r="F271" s="115"/>
      <c r="G271" s="115"/>
      <c r="H271" s="115"/>
      <c r="I271" s="115"/>
      <c r="J271" s="115"/>
      <c r="K271" s="115"/>
      <c r="L271" s="115"/>
      <c r="M271" s="115"/>
      <c r="N271" s="115"/>
      <c r="O271" s="26"/>
      <c r="P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25">
        <v>45680</v>
      </c>
      <c r="AA271" s="13" t="s">
        <v>146</v>
      </c>
      <c r="AF271" s="116"/>
      <c r="AG271" s="123"/>
      <c r="AH271" s="123"/>
      <c r="AI271" s="123"/>
      <c r="AN271" s="115"/>
      <c r="AO271" s="115"/>
      <c r="AP271" s="115"/>
      <c r="AQ271" s="115"/>
      <c r="AR271" s="115"/>
      <c r="AS271" s="115"/>
      <c r="AT271" s="115"/>
      <c r="AU271" s="115"/>
      <c r="AV271" s="115"/>
      <c r="AW271" s="115"/>
      <c r="AX271" s="25"/>
      <c r="AY271" s="13"/>
      <c r="BB271" s="114"/>
    </row>
    <row r="272" spans="1:54" ht="19.5" x14ac:dyDescent="0.4">
      <c r="A272" s="117"/>
      <c r="B272" s="123"/>
      <c r="C272" s="123"/>
      <c r="D272" s="123"/>
      <c r="F272" s="115"/>
      <c r="G272" s="115"/>
      <c r="H272" s="115"/>
      <c r="I272" s="115"/>
      <c r="J272" s="115"/>
      <c r="K272" s="115"/>
      <c r="L272" s="115"/>
      <c r="M272" s="115"/>
      <c r="N272" s="115"/>
      <c r="O272" s="17"/>
      <c r="P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25"/>
      <c r="AA272" s="13"/>
      <c r="AF272" s="116"/>
      <c r="AG272" s="123"/>
      <c r="AH272" s="123"/>
      <c r="AI272" s="123"/>
      <c r="AN272" s="115"/>
      <c r="AO272" s="115"/>
      <c r="AP272" s="115"/>
      <c r="AQ272" s="115"/>
      <c r="AR272" s="115"/>
      <c r="AS272" s="115"/>
      <c r="AT272" s="115"/>
      <c r="AU272" s="115"/>
      <c r="AV272" s="115"/>
      <c r="AW272" s="115"/>
      <c r="AX272" s="25"/>
      <c r="AY272" s="13"/>
      <c r="BB272" s="114"/>
    </row>
    <row r="273" spans="1:54" ht="19.5" x14ac:dyDescent="0.4">
      <c r="A273" s="117"/>
      <c r="B273" s="123"/>
      <c r="C273" s="123"/>
      <c r="D273" s="123"/>
      <c r="F273" s="115"/>
      <c r="G273" s="115"/>
      <c r="H273" s="115"/>
      <c r="I273" s="115"/>
      <c r="J273" s="115"/>
      <c r="K273" s="115"/>
      <c r="L273" s="115"/>
      <c r="M273" s="115"/>
      <c r="N273" s="115"/>
      <c r="O273" s="26"/>
      <c r="P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25"/>
      <c r="AA273" s="13"/>
      <c r="AF273" s="116"/>
      <c r="AG273" s="123"/>
      <c r="AH273" s="123"/>
      <c r="AI273" s="123"/>
      <c r="AN273" s="115"/>
      <c r="AO273" s="115"/>
      <c r="AP273" s="115"/>
      <c r="AQ273" s="115"/>
      <c r="AR273" s="115"/>
      <c r="AS273" s="115"/>
      <c r="AT273" s="115"/>
      <c r="AU273" s="115"/>
      <c r="AV273" s="115"/>
      <c r="AW273" s="115"/>
      <c r="AX273" s="25"/>
      <c r="AY273" s="13"/>
      <c r="BB273" s="114"/>
    </row>
    <row r="274" spans="1:54" ht="19.5" x14ac:dyDescent="0.4">
      <c r="A274" s="117"/>
      <c r="B274" s="123"/>
      <c r="C274" s="123"/>
      <c r="D274" s="123"/>
      <c r="F274" s="115"/>
      <c r="G274" s="115"/>
      <c r="H274" s="115"/>
      <c r="I274" s="115"/>
      <c r="J274" s="115"/>
      <c r="K274" s="115"/>
      <c r="L274" s="115"/>
      <c r="M274" s="115"/>
      <c r="N274" s="115"/>
      <c r="O274" s="17"/>
      <c r="P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25"/>
      <c r="AA274" s="13"/>
      <c r="AF274" s="116"/>
      <c r="AG274" s="123"/>
      <c r="AH274" s="123"/>
      <c r="AI274" s="123"/>
      <c r="AN274" s="115"/>
      <c r="AO274" s="115"/>
      <c r="AP274" s="115"/>
      <c r="AQ274" s="115"/>
      <c r="AR274" s="115"/>
      <c r="AS274" s="115"/>
      <c r="AT274" s="115"/>
      <c r="AU274" s="115"/>
      <c r="AV274" s="115"/>
      <c r="AW274" s="115"/>
      <c r="AX274" s="25"/>
      <c r="AY274" s="13"/>
      <c r="BB274" s="114"/>
    </row>
    <row r="275" spans="1:54" ht="19.5" x14ac:dyDescent="0.4">
      <c r="A275" s="117"/>
      <c r="B275" s="123"/>
      <c r="C275" s="123"/>
      <c r="D275" s="123"/>
      <c r="O275" s="26"/>
      <c r="P275" s="13"/>
      <c r="Z275" s="25">
        <v>45680</v>
      </c>
      <c r="AA275" s="13" t="s">
        <v>146</v>
      </c>
      <c r="AF275" s="117"/>
      <c r="AG275" s="123"/>
      <c r="AH275" s="123"/>
      <c r="AI275" s="123"/>
      <c r="AN275" s="115"/>
      <c r="AO275" s="115"/>
      <c r="AP275" s="115"/>
      <c r="AQ275" s="115"/>
      <c r="AR275" s="115"/>
      <c r="AS275" s="115"/>
      <c r="AT275" s="115"/>
      <c r="AU275" s="115"/>
      <c r="AV275" s="115"/>
      <c r="AW275" s="115" t="s">
        <v>149</v>
      </c>
      <c r="AX275" s="13">
        <f>SUBTOTAL(3,AX2:AX2)</f>
        <v>1</v>
      </c>
      <c r="AY275" s="13">
        <f>SUBTOTAL(3,AY2:AY2)</f>
        <v>1</v>
      </c>
      <c r="BB275" s="114"/>
    </row>
    <row r="276" spans="1:54" ht="19.5" x14ac:dyDescent="0.4">
      <c r="A276" s="117"/>
      <c r="B276" s="123"/>
      <c r="C276" s="123"/>
      <c r="D276" s="123"/>
      <c r="J276" s="115"/>
      <c r="K276" s="115"/>
      <c r="L276" s="115"/>
      <c r="M276" s="115"/>
      <c r="N276" s="115"/>
      <c r="O276" s="17"/>
      <c r="P276" s="13"/>
      <c r="Z276" s="25"/>
      <c r="AA276" s="13"/>
      <c r="AF276" s="117"/>
      <c r="AG276" s="123"/>
      <c r="AH276" s="123"/>
      <c r="AI276" s="123"/>
      <c r="AN276" s="115"/>
      <c r="AO276" s="115"/>
      <c r="AP276" s="115"/>
      <c r="AQ276" s="115"/>
      <c r="AR276" s="115"/>
      <c r="AS276" s="115"/>
      <c r="AT276" s="115"/>
      <c r="AU276" s="115"/>
      <c r="AV276" s="115"/>
      <c r="AW276" s="115"/>
      <c r="AX276" s="13"/>
      <c r="AY276" s="13"/>
      <c r="BB276" s="114"/>
    </row>
    <row r="277" spans="1:54" ht="19.5" x14ac:dyDescent="0.4">
      <c r="A277" s="117"/>
      <c r="B277" s="123"/>
      <c r="C277" s="123"/>
      <c r="D277" s="123"/>
      <c r="O277" s="26"/>
      <c r="P277" s="13"/>
      <c r="Z277" s="25"/>
      <c r="AA277" s="13"/>
      <c r="AF277" s="117"/>
      <c r="AG277" s="123"/>
      <c r="AH277" s="123"/>
      <c r="AI277" s="123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3"/>
      <c r="AY277" s="13"/>
      <c r="BB277" s="114"/>
    </row>
    <row r="278" spans="1:54" ht="19.5" x14ac:dyDescent="0.4">
      <c r="A278" s="117"/>
      <c r="B278" s="123"/>
      <c r="C278" s="123"/>
      <c r="D278" s="123"/>
      <c r="O278" s="26"/>
      <c r="P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25">
        <v>45682</v>
      </c>
      <c r="AA278" s="13" t="s">
        <v>147</v>
      </c>
      <c r="AF278" s="117"/>
      <c r="AG278" s="123"/>
      <c r="AH278" s="123"/>
      <c r="AI278" s="123"/>
      <c r="AN278" s="115"/>
      <c r="AO278" s="115"/>
      <c r="AP278" s="115"/>
      <c r="AQ278" s="115"/>
      <c r="AR278" s="115"/>
      <c r="AS278" s="115"/>
      <c r="AT278" s="115"/>
      <c r="AU278" s="115"/>
      <c r="AV278" s="115"/>
      <c r="AW278" s="115"/>
      <c r="AX278" s="13"/>
      <c r="AY278" s="13"/>
      <c r="BB278" s="114"/>
    </row>
    <row r="279" spans="1:54" ht="19.5" x14ac:dyDescent="0.4">
      <c r="A279" s="117"/>
      <c r="B279" s="123"/>
      <c r="C279" s="123"/>
      <c r="D279" s="123"/>
      <c r="O279" s="26"/>
      <c r="P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25">
        <v>45682</v>
      </c>
      <c r="AA279" s="13" t="s">
        <v>146</v>
      </c>
      <c r="AF279" s="117"/>
      <c r="AG279" s="123"/>
      <c r="AH279" s="123"/>
      <c r="AI279" s="123"/>
      <c r="AN279" s="115"/>
      <c r="AO279" s="115"/>
      <c r="AP279" s="115"/>
      <c r="AQ279" s="115"/>
      <c r="AR279" s="115"/>
      <c r="AS279" s="115"/>
      <c r="AT279" s="115"/>
      <c r="AU279" s="115"/>
      <c r="AV279" s="115"/>
      <c r="AW279" s="115"/>
      <c r="AX279" s="13"/>
      <c r="AY279" s="13"/>
      <c r="BB279" s="114"/>
    </row>
    <row r="280" spans="1:54" ht="19.5" x14ac:dyDescent="0.4">
      <c r="A280" s="117"/>
      <c r="B280" s="123"/>
      <c r="C280" s="123"/>
      <c r="D280" s="123"/>
      <c r="G280" s="115"/>
      <c r="H280" s="115"/>
      <c r="I280" s="115"/>
      <c r="J280" s="115"/>
      <c r="K280" s="115"/>
      <c r="L280" s="115"/>
      <c r="M280" s="115"/>
      <c r="N280" s="115"/>
      <c r="O280" s="26"/>
      <c r="P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25"/>
      <c r="AA280" s="13"/>
      <c r="AF280" s="117"/>
      <c r="AG280" s="123"/>
      <c r="AH280" s="123"/>
      <c r="AI280" s="123"/>
      <c r="AN280" s="115"/>
      <c r="AO280" s="115"/>
      <c r="AP280" s="115"/>
      <c r="AQ280" s="115"/>
      <c r="AR280" s="115"/>
      <c r="AS280" s="115"/>
      <c r="AT280" s="115"/>
      <c r="AU280" s="115"/>
      <c r="AV280" s="115"/>
      <c r="AW280" s="115"/>
      <c r="AX280" s="13"/>
      <c r="AY280" s="13"/>
      <c r="BB280" s="114"/>
    </row>
    <row r="281" spans="1:54" ht="19.5" x14ac:dyDescent="0.4">
      <c r="A281" s="117"/>
      <c r="B281" s="123"/>
      <c r="C281" s="123"/>
      <c r="D281" s="123"/>
      <c r="G281" s="115"/>
      <c r="H281" s="115"/>
      <c r="I281" s="115"/>
      <c r="J281" s="115"/>
      <c r="K281" s="115"/>
      <c r="L281" s="115"/>
      <c r="M281" s="115"/>
      <c r="N281" s="115"/>
      <c r="O281" s="26"/>
      <c r="P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25"/>
      <c r="AA281" s="13"/>
      <c r="AF281" s="117"/>
      <c r="AG281" s="123"/>
      <c r="AH281" s="123"/>
      <c r="AI281" s="123"/>
      <c r="AN281" s="115"/>
      <c r="AO281" s="115"/>
      <c r="AP281" s="115"/>
      <c r="AQ281" s="115"/>
      <c r="AR281" s="115"/>
      <c r="AS281" s="115"/>
      <c r="AT281" s="115"/>
      <c r="AU281" s="115"/>
      <c r="AV281" s="115"/>
      <c r="AW281" s="115"/>
      <c r="AX281" s="13"/>
      <c r="AY281" s="13"/>
      <c r="BB281" s="114"/>
    </row>
    <row r="282" spans="1:54" ht="19.5" x14ac:dyDescent="0.4">
      <c r="A282" s="117"/>
      <c r="B282" s="123"/>
      <c r="C282" s="123"/>
      <c r="D282" s="123"/>
      <c r="G282" s="115"/>
      <c r="H282" s="115"/>
      <c r="I282" s="115"/>
      <c r="J282" s="115"/>
      <c r="K282" s="115"/>
      <c r="L282" s="115"/>
      <c r="M282" s="115"/>
      <c r="N282" s="115"/>
      <c r="O282" s="17"/>
      <c r="P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25"/>
      <c r="AA282" s="13"/>
      <c r="AF282" s="117"/>
      <c r="AG282" s="123"/>
      <c r="AH282" s="123"/>
      <c r="AI282" s="123"/>
      <c r="AN282" s="115"/>
      <c r="AO282" s="115"/>
      <c r="AP282" s="115"/>
      <c r="AQ282" s="115"/>
      <c r="AR282" s="115"/>
      <c r="AS282" s="115"/>
      <c r="AT282" s="115"/>
      <c r="AU282" s="115"/>
      <c r="AV282" s="115"/>
      <c r="AW282" s="115"/>
      <c r="AX282" s="13"/>
      <c r="AY282" s="13"/>
      <c r="BB282" s="114"/>
    </row>
    <row r="283" spans="1:54" ht="19.5" x14ac:dyDescent="0.4">
      <c r="A283" s="117"/>
      <c r="B283" s="123"/>
      <c r="C283" s="123"/>
      <c r="D283" s="123"/>
      <c r="G283" s="115"/>
      <c r="H283" s="115"/>
      <c r="I283" s="115"/>
      <c r="J283" s="115"/>
      <c r="K283" s="115"/>
      <c r="L283" s="115"/>
      <c r="M283" s="115"/>
      <c r="N283" s="115"/>
      <c r="O283" s="26"/>
      <c r="P283" s="13"/>
      <c r="Q283" s="115"/>
      <c r="R283" s="115"/>
      <c r="S283" s="115"/>
      <c r="T283" s="115"/>
      <c r="U283" s="115"/>
      <c r="V283" s="115"/>
      <c r="W283" s="115"/>
      <c r="X283" s="115"/>
      <c r="Y283" s="115"/>
      <c r="Z283" s="25"/>
      <c r="AA283" s="13"/>
      <c r="AF283" s="117"/>
      <c r="AG283" s="123"/>
      <c r="AH283" s="123"/>
      <c r="AI283" s="123"/>
      <c r="AN283" s="115"/>
      <c r="AO283" s="115"/>
      <c r="AP283" s="115"/>
      <c r="AQ283" s="115"/>
      <c r="AR283" s="115"/>
      <c r="AS283" s="115"/>
      <c r="AT283" s="115"/>
      <c r="AU283" s="115"/>
      <c r="AV283" s="115"/>
      <c r="AW283" s="115"/>
      <c r="AX283" s="13"/>
      <c r="AY283" s="13"/>
      <c r="BB283" s="114"/>
    </row>
    <row r="284" spans="1:54" ht="19.5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7"/>
      <c r="P284" s="13"/>
      <c r="Q284" s="115"/>
      <c r="R284" s="115"/>
      <c r="S284" s="115"/>
      <c r="T284" s="115"/>
      <c r="U284" s="115"/>
      <c r="V284" s="115"/>
      <c r="W284" s="115"/>
      <c r="X284" s="115"/>
      <c r="Y284" s="115"/>
      <c r="Z284" s="25"/>
      <c r="AA284" s="13"/>
      <c r="AF284" s="117"/>
      <c r="AG284" s="123"/>
      <c r="AH284" s="123"/>
      <c r="AI284" s="123"/>
      <c r="AN284" s="115"/>
      <c r="AO284" s="115"/>
      <c r="AP284" s="115"/>
      <c r="AQ284" s="115"/>
      <c r="AR284" s="115"/>
      <c r="AS284" s="115"/>
      <c r="AT284" s="115"/>
      <c r="AU284" s="115"/>
      <c r="AV284" s="115"/>
      <c r="AW284" s="115"/>
      <c r="AX284" s="13"/>
      <c r="AY284" s="13"/>
      <c r="BB284" s="114"/>
    </row>
    <row r="285" spans="1:54" ht="19.5" x14ac:dyDescent="0.4">
      <c r="A285" s="117"/>
      <c r="B285" s="123"/>
      <c r="C285" s="123"/>
      <c r="D285" s="123"/>
      <c r="O285" s="26"/>
      <c r="P285" s="13"/>
      <c r="Q285" s="115"/>
      <c r="R285" s="115"/>
      <c r="S285" s="115"/>
      <c r="T285" s="115"/>
      <c r="U285" s="115"/>
      <c r="V285" s="115"/>
      <c r="W285" s="115"/>
      <c r="X285" s="115"/>
      <c r="Y285" s="115"/>
      <c r="Z285" s="25">
        <v>45682</v>
      </c>
      <c r="AA285" s="13" t="s">
        <v>147</v>
      </c>
      <c r="AF285" s="117"/>
      <c r="AG285" s="123"/>
      <c r="AH285" s="123"/>
      <c r="AI285" s="123"/>
      <c r="AN285" s="115"/>
      <c r="AO285" s="115"/>
      <c r="AP285" s="115"/>
      <c r="AQ285" s="115"/>
      <c r="AR285" s="115"/>
      <c r="AS285" s="115"/>
      <c r="AT285" s="115"/>
      <c r="AU285" s="115"/>
      <c r="AV285" s="115"/>
      <c r="AW285" s="115"/>
      <c r="AX285" s="13"/>
      <c r="AY285" s="13"/>
      <c r="BB285" s="114"/>
    </row>
    <row r="286" spans="1:54" ht="19.5" x14ac:dyDescent="0.4">
      <c r="A286" s="117"/>
      <c r="B286" s="123"/>
      <c r="C286" s="123"/>
      <c r="D286" s="123"/>
      <c r="J286" s="115"/>
      <c r="K286" s="115"/>
      <c r="L286" s="115"/>
      <c r="M286" s="115"/>
      <c r="N286" s="115"/>
      <c r="O286" s="17"/>
      <c r="P286" s="13"/>
      <c r="Q286" s="115"/>
      <c r="R286" s="115"/>
      <c r="S286" s="115"/>
      <c r="T286" s="115"/>
      <c r="U286" s="115"/>
      <c r="V286" s="115"/>
      <c r="W286" s="115"/>
      <c r="X286" s="115"/>
      <c r="Y286" s="115"/>
      <c r="Z286" s="25"/>
      <c r="AA286" s="13"/>
      <c r="AF286" s="117"/>
      <c r="AG286" s="123"/>
      <c r="AH286" s="123"/>
      <c r="AI286" s="123"/>
      <c r="AN286" s="115"/>
      <c r="AO286" s="115"/>
      <c r="AP286" s="115"/>
      <c r="AQ286" s="115"/>
      <c r="AR286" s="115"/>
      <c r="AS286" s="115"/>
      <c r="AT286" s="115"/>
      <c r="AU286" s="115"/>
      <c r="AV286" s="115"/>
      <c r="AW286" s="115"/>
      <c r="AX286" s="13"/>
      <c r="AY286" s="13"/>
      <c r="BB286" s="114"/>
    </row>
    <row r="287" spans="1:54" ht="19.5" x14ac:dyDescent="0.4">
      <c r="A287" s="117"/>
      <c r="B287" s="123"/>
      <c r="C287" s="123"/>
      <c r="D287" s="123"/>
      <c r="J287" s="115"/>
      <c r="K287" s="115"/>
      <c r="L287" s="115"/>
      <c r="M287" s="115"/>
      <c r="N287" s="115"/>
      <c r="O287" s="17"/>
      <c r="P287" s="13"/>
      <c r="Q287" s="115"/>
      <c r="R287" s="115"/>
      <c r="S287" s="115"/>
      <c r="T287" s="115"/>
      <c r="U287" s="115"/>
      <c r="V287" s="115"/>
      <c r="W287" s="115"/>
      <c r="X287" s="115"/>
      <c r="Y287" s="115"/>
      <c r="Z287" s="25"/>
      <c r="AA287" s="13"/>
      <c r="AF287" s="117"/>
      <c r="AG287" s="123"/>
      <c r="AH287" s="123"/>
      <c r="AI287" s="123"/>
      <c r="AN287" s="115"/>
      <c r="AO287" s="115"/>
      <c r="AP287" s="115"/>
      <c r="AQ287" s="115"/>
      <c r="AR287" s="115"/>
      <c r="AS287" s="115"/>
      <c r="AT287" s="115"/>
      <c r="AU287" s="115"/>
      <c r="AV287" s="115"/>
      <c r="AW287" s="115"/>
      <c r="AX287" s="13"/>
      <c r="AY287" s="13"/>
      <c r="BB287" s="114"/>
    </row>
    <row r="288" spans="1:54" ht="19.5" x14ac:dyDescent="0.4">
      <c r="A288" s="117"/>
      <c r="B288" s="123"/>
      <c r="C288" s="123"/>
      <c r="D288" s="123"/>
      <c r="O288" s="129"/>
      <c r="P288" s="13"/>
      <c r="Q288" s="115"/>
      <c r="R288" s="115"/>
      <c r="S288" s="115"/>
      <c r="T288" s="115"/>
      <c r="U288" s="115"/>
      <c r="V288" s="115"/>
      <c r="W288" s="115"/>
      <c r="X288" s="115"/>
      <c r="Y288" s="115"/>
      <c r="Z288" s="25"/>
      <c r="AA288" s="13"/>
      <c r="AF288" s="117"/>
      <c r="AG288" s="123"/>
      <c r="AH288" s="123"/>
      <c r="AI288" s="123"/>
      <c r="AN288" s="115"/>
      <c r="AO288" s="115"/>
      <c r="AP288" s="115"/>
      <c r="AQ288" s="115"/>
      <c r="AR288" s="115"/>
      <c r="AS288" s="115"/>
      <c r="AT288" s="115"/>
      <c r="AU288" s="115"/>
      <c r="AV288" s="115"/>
      <c r="AW288" s="115"/>
      <c r="AX288" s="13"/>
      <c r="AY288" s="13"/>
      <c r="BB288" s="114"/>
    </row>
    <row r="289" spans="1:54" ht="19.5" x14ac:dyDescent="0.4">
      <c r="A289" s="117"/>
      <c r="B289" s="123"/>
      <c r="C289" s="123"/>
      <c r="D289" s="123"/>
      <c r="O289" s="26"/>
      <c r="P289" s="13"/>
      <c r="Q289" s="115"/>
      <c r="R289" s="115"/>
      <c r="S289" s="115"/>
      <c r="T289" s="115"/>
      <c r="U289" s="115"/>
      <c r="V289" s="115"/>
      <c r="W289" s="115"/>
      <c r="X289" s="115"/>
      <c r="Y289" s="115"/>
      <c r="Z289" s="25"/>
      <c r="AA289" s="13"/>
      <c r="AF289" s="117"/>
      <c r="AG289" s="123"/>
      <c r="AH289" s="123"/>
      <c r="AI289" s="123"/>
      <c r="AN289" s="115"/>
      <c r="AO289" s="115"/>
      <c r="AP289" s="115"/>
      <c r="AQ289" s="115"/>
      <c r="AR289" s="115"/>
      <c r="AS289" s="115"/>
      <c r="AT289" s="115"/>
      <c r="AU289" s="115"/>
      <c r="AV289" s="115"/>
      <c r="AW289" s="115"/>
      <c r="AX289" s="13"/>
      <c r="AY289" s="13"/>
      <c r="BB289" s="114"/>
    </row>
    <row r="290" spans="1:54" ht="19.5" x14ac:dyDescent="0.4">
      <c r="A290" s="117"/>
      <c r="B290" s="123"/>
      <c r="C290" s="123"/>
      <c r="D290" s="123"/>
      <c r="O290" s="26"/>
      <c r="P290" s="13"/>
      <c r="Z290" s="25">
        <v>45682</v>
      </c>
      <c r="AA290" s="15" t="s">
        <v>146</v>
      </c>
      <c r="AF290" s="117"/>
      <c r="AG290" s="123"/>
      <c r="AH290" s="123"/>
      <c r="AI290" s="123"/>
      <c r="AN290" s="115"/>
      <c r="AO290" s="115"/>
      <c r="AP290" s="115"/>
      <c r="AQ290" s="115"/>
      <c r="AR290" s="115"/>
      <c r="AS290" s="115"/>
      <c r="AT290" s="115"/>
      <c r="AU290" s="115"/>
      <c r="AV290" s="115"/>
      <c r="AW290" s="115"/>
      <c r="AX290" s="13"/>
      <c r="AY290" s="13"/>
      <c r="BB290" s="114"/>
    </row>
    <row r="291" spans="1:54" ht="19.5" x14ac:dyDescent="0.4">
      <c r="A291" s="117"/>
      <c r="B291" s="123"/>
      <c r="C291" s="123"/>
      <c r="D291" s="123"/>
      <c r="O291" s="129"/>
      <c r="P291" s="13"/>
      <c r="Z291" s="25"/>
      <c r="AA291" s="15"/>
      <c r="AF291" s="117"/>
      <c r="AG291" s="123"/>
      <c r="AH291" s="123"/>
      <c r="AI291" s="123"/>
      <c r="AN291" s="115"/>
      <c r="AO291" s="115"/>
      <c r="AP291" s="115"/>
      <c r="AQ291" s="115"/>
      <c r="AR291" s="115"/>
      <c r="AS291" s="115"/>
      <c r="AT291" s="115"/>
      <c r="AU291" s="115"/>
      <c r="AV291" s="115"/>
      <c r="AW291" s="115"/>
      <c r="AX291" s="13"/>
      <c r="AY291" s="13"/>
      <c r="BB291" s="114"/>
    </row>
    <row r="292" spans="1:54" ht="19.5" x14ac:dyDescent="0.4">
      <c r="A292" s="117"/>
      <c r="B292" s="123"/>
      <c r="C292" s="123"/>
      <c r="D292" s="123"/>
      <c r="O292" s="26"/>
      <c r="P292" s="13"/>
      <c r="Z292" s="25"/>
      <c r="AA292" s="15"/>
      <c r="AF292" s="117"/>
      <c r="AG292" s="123"/>
      <c r="AH292" s="123"/>
      <c r="AI292" s="123"/>
      <c r="AN292" s="115"/>
      <c r="AO292" s="115"/>
      <c r="AP292" s="115"/>
      <c r="AQ292" s="115"/>
      <c r="AR292" s="115"/>
      <c r="AS292" s="115"/>
      <c r="AT292" s="115"/>
      <c r="AU292" s="115"/>
      <c r="AV292" s="115"/>
      <c r="AW292" s="115"/>
      <c r="AX292" s="13"/>
      <c r="AY292" s="13"/>
      <c r="BB292" s="114"/>
    </row>
    <row r="293" spans="1:54" ht="19.5" x14ac:dyDescent="0.4">
      <c r="A293" s="117"/>
      <c r="B293" s="123"/>
      <c r="C293" s="123"/>
      <c r="D293" s="123"/>
      <c r="I293" s="115"/>
      <c r="J293" s="115"/>
      <c r="K293" s="115"/>
      <c r="L293" s="115"/>
      <c r="M293" s="115"/>
      <c r="N293" s="115"/>
      <c r="O293" s="26"/>
      <c r="P293" s="13"/>
      <c r="Z293" s="25"/>
      <c r="AA293" s="15"/>
      <c r="AF293" s="117"/>
      <c r="AG293" s="123"/>
      <c r="AH293" s="123"/>
      <c r="AI293" s="123"/>
      <c r="AN293" s="115"/>
      <c r="AO293" s="115"/>
      <c r="AP293" s="115"/>
      <c r="AQ293" s="115"/>
      <c r="AR293" s="115"/>
      <c r="AS293" s="115"/>
      <c r="AT293" s="115"/>
      <c r="AU293" s="115"/>
      <c r="AV293" s="115"/>
      <c r="AW293" s="115"/>
      <c r="AX293" s="13"/>
      <c r="AY293" s="13"/>
      <c r="BB293" s="114"/>
    </row>
    <row r="294" spans="1:54" ht="19.5" x14ac:dyDescent="0.4">
      <c r="A294" s="117"/>
      <c r="B294" s="123"/>
      <c r="C294" s="123"/>
      <c r="D294" s="123"/>
      <c r="O294" s="26"/>
      <c r="P294" s="13"/>
      <c r="Q294" s="115"/>
      <c r="R294" s="115"/>
      <c r="S294" s="115"/>
      <c r="T294" s="115"/>
      <c r="U294" s="115"/>
      <c r="V294" s="115"/>
      <c r="W294" s="115"/>
      <c r="X294" s="115"/>
      <c r="Y294" s="115"/>
      <c r="Z294" s="25">
        <v>45682</v>
      </c>
      <c r="AA294" s="15" t="s">
        <v>146</v>
      </c>
      <c r="AF294" s="117"/>
      <c r="AG294" s="123"/>
      <c r="AH294" s="123"/>
      <c r="AI294" s="123"/>
      <c r="AN294" s="115"/>
      <c r="AO294" s="115"/>
      <c r="AP294" s="115"/>
      <c r="AQ294" s="115"/>
      <c r="AR294" s="115"/>
      <c r="AS294" s="115"/>
      <c r="AT294" s="115"/>
      <c r="AU294" s="115"/>
      <c r="AV294" s="115"/>
      <c r="AW294" s="115"/>
      <c r="AX294" s="13"/>
      <c r="AY294" s="13"/>
      <c r="BB294" s="114"/>
    </row>
    <row r="295" spans="1:54" ht="19.5" x14ac:dyDescent="0.4">
      <c r="A295" s="117"/>
      <c r="B295" s="123"/>
      <c r="C295" s="123"/>
      <c r="D295" s="123"/>
      <c r="O295" s="129"/>
      <c r="P295" s="13"/>
      <c r="Q295" s="115"/>
      <c r="R295" s="115"/>
      <c r="S295" s="115"/>
      <c r="T295" s="115"/>
      <c r="U295" s="115"/>
      <c r="V295" s="115"/>
      <c r="W295" s="115"/>
      <c r="X295" s="115"/>
      <c r="Y295" s="115"/>
      <c r="Z295" s="25"/>
      <c r="AA295" s="15"/>
      <c r="AF295" s="117"/>
      <c r="AG295" s="123"/>
      <c r="AH295" s="123"/>
      <c r="AI295" s="123"/>
      <c r="AN295" s="115"/>
      <c r="AO295" s="115"/>
      <c r="AP295" s="115"/>
      <c r="AQ295" s="115"/>
      <c r="AR295" s="115"/>
      <c r="AS295" s="115"/>
      <c r="AT295" s="115"/>
      <c r="AU295" s="115"/>
      <c r="AV295" s="115"/>
      <c r="AW295" s="115"/>
      <c r="AX295" s="13"/>
      <c r="AY295" s="13"/>
      <c r="BB295" s="114"/>
    </row>
    <row r="296" spans="1:54" ht="19.5" x14ac:dyDescent="0.4">
      <c r="A296" s="117"/>
      <c r="B296" s="123"/>
      <c r="C296" s="123"/>
      <c r="D296" s="123"/>
      <c r="O296" s="26"/>
      <c r="P296" s="13"/>
      <c r="Q296" s="115"/>
      <c r="R296" s="115"/>
      <c r="S296" s="115"/>
      <c r="T296" s="115"/>
      <c r="U296" s="115"/>
      <c r="V296" s="115"/>
      <c r="W296" s="115"/>
      <c r="X296" s="115"/>
      <c r="Y296" s="115"/>
      <c r="Z296" s="25">
        <v>45682</v>
      </c>
      <c r="AA296" s="15" t="s">
        <v>148</v>
      </c>
      <c r="AF296" s="117"/>
      <c r="AG296" s="123"/>
      <c r="AH296" s="123"/>
      <c r="AI296" s="123"/>
      <c r="AN296" s="115"/>
      <c r="AO296" s="115"/>
      <c r="AP296" s="115"/>
      <c r="AQ296" s="115"/>
      <c r="AR296" s="115"/>
      <c r="AS296" s="115"/>
      <c r="AT296" s="115"/>
      <c r="AU296" s="115"/>
      <c r="AV296" s="115"/>
      <c r="AW296" s="115"/>
      <c r="AX296" s="13"/>
      <c r="AY296" s="13"/>
      <c r="BB296" s="114"/>
    </row>
    <row r="297" spans="1:54" ht="19.5" x14ac:dyDescent="0.4">
      <c r="A297" s="117"/>
      <c r="B297" s="123"/>
      <c r="C297" s="123"/>
      <c r="D297" s="123"/>
      <c r="O297" s="26"/>
      <c r="P297" s="13"/>
      <c r="Q297" s="115"/>
      <c r="R297" s="115"/>
      <c r="S297" s="115"/>
      <c r="T297" s="115"/>
      <c r="U297" s="115"/>
      <c r="V297" s="115"/>
      <c r="W297" s="115"/>
      <c r="X297" s="115"/>
      <c r="Y297" s="115"/>
      <c r="Z297" s="25">
        <v>45682</v>
      </c>
      <c r="AA297" s="15" t="s">
        <v>146</v>
      </c>
      <c r="AF297" s="117"/>
      <c r="AG297" s="123"/>
      <c r="AH297" s="123"/>
      <c r="AI297" s="123"/>
      <c r="AN297" s="115"/>
      <c r="AO297" s="115"/>
      <c r="AP297" s="115"/>
      <c r="AQ297" s="115"/>
      <c r="AR297" s="115"/>
      <c r="AS297" s="115"/>
      <c r="AT297" s="115"/>
      <c r="AU297" s="115"/>
      <c r="AV297" s="115"/>
      <c r="AW297" s="115"/>
      <c r="AX297" s="13"/>
      <c r="AY297" s="13"/>
      <c r="BB297" s="114"/>
    </row>
    <row r="298" spans="1:54" ht="19.5" x14ac:dyDescent="0.4">
      <c r="A298" s="117"/>
      <c r="B298" s="123"/>
      <c r="C298" s="123"/>
      <c r="D298" s="123"/>
      <c r="O298" s="26"/>
      <c r="P298" s="13"/>
      <c r="Q298" s="115"/>
      <c r="R298" s="115"/>
      <c r="S298" s="115"/>
      <c r="T298" s="115"/>
      <c r="U298" s="115"/>
      <c r="V298" s="115"/>
      <c r="W298" s="115"/>
      <c r="X298" s="115"/>
      <c r="Y298" s="115"/>
      <c r="Z298" s="25">
        <v>45682</v>
      </c>
      <c r="AA298" s="15" t="s">
        <v>148</v>
      </c>
      <c r="AF298" s="117"/>
      <c r="AG298" s="123"/>
      <c r="AH298" s="123"/>
      <c r="AI298" s="123"/>
      <c r="AN298" s="115"/>
      <c r="AO298" s="115"/>
      <c r="AP298" s="115"/>
      <c r="AQ298" s="115"/>
      <c r="AR298" s="115"/>
      <c r="AS298" s="115"/>
      <c r="AT298" s="115"/>
      <c r="AU298" s="115"/>
      <c r="AV298" s="115"/>
      <c r="AW298" s="115"/>
      <c r="AX298" s="13"/>
      <c r="AY298" s="13"/>
      <c r="BB298" s="114"/>
    </row>
    <row r="299" spans="1:54" ht="19.5" x14ac:dyDescent="0.4">
      <c r="A299" s="117"/>
      <c r="B299" s="123"/>
      <c r="C299" s="123"/>
      <c r="D299" s="123"/>
      <c r="I299" s="115"/>
      <c r="J299" s="115"/>
      <c r="K299" s="115"/>
      <c r="L299" s="115"/>
      <c r="M299" s="115"/>
      <c r="N299" s="115"/>
      <c r="O299" s="26"/>
      <c r="P299" s="13"/>
      <c r="Q299" s="115"/>
      <c r="R299" s="115"/>
      <c r="S299" s="115"/>
      <c r="T299" s="115"/>
      <c r="U299" s="115"/>
      <c r="V299" s="115"/>
      <c r="W299" s="115"/>
      <c r="X299" s="115"/>
      <c r="Y299" s="115"/>
      <c r="Z299" s="25"/>
      <c r="AA299" s="15"/>
      <c r="AF299" s="117"/>
      <c r="AG299" s="123"/>
      <c r="AH299" s="123"/>
      <c r="AI299" s="123"/>
      <c r="AN299" s="115"/>
      <c r="AO299" s="115"/>
      <c r="AP299" s="115"/>
      <c r="AQ299" s="115"/>
      <c r="AR299" s="115"/>
      <c r="AS299" s="115"/>
      <c r="AT299" s="115"/>
      <c r="AU299" s="115"/>
      <c r="AV299" s="115"/>
      <c r="AW299" s="115"/>
      <c r="AX299" s="13"/>
      <c r="AY299" s="13"/>
      <c r="BB299" s="114"/>
    </row>
    <row r="300" spans="1:54" ht="19.5" x14ac:dyDescent="0.4">
      <c r="A300" s="117"/>
      <c r="B300" s="123"/>
      <c r="C300" s="123"/>
      <c r="D300" s="123"/>
      <c r="O300" s="26"/>
      <c r="P300" s="15"/>
      <c r="Q300" s="115"/>
      <c r="R300" s="115"/>
      <c r="S300" s="115"/>
      <c r="T300" s="115"/>
      <c r="U300" s="115"/>
      <c r="V300" s="115"/>
      <c r="W300" s="115"/>
      <c r="X300" s="115"/>
      <c r="Y300" s="115"/>
      <c r="Z300" s="25">
        <v>45682</v>
      </c>
      <c r="AA300" s="15" t="s">
        <v>148</v>
      </c>
      <c r="AF300" s="117"/>
      <c r="AG300" s="123"/>
      <c r="AH300" s="123"/>
      <c r="AI300" s="123"/>
      <c r="AN300" s="115"/>
      <c r="AO300" s="115"/>
      <c r="AP300" s="115"/>
      <c r="AQ300" s="115"/>
      <c r="AR300" s="115"/>
      <c r="AS300" s="115"/>
      <c r="AT300" s="115"/>
      <c r="AU300" s="115"/>
      <c r="AV300" s="115"/>
      <c r="AW300" s="115"/>
      <c r="AX300" s="13"/>
      <c r="AY300" s="13"/>
      <c r="BB300" s="114"/>
    </row>
    <row r="301" spans="1:54" ht="19.5" x14ac:dyDescent="0.4">
      <c r="A301" s="117"/>
      <c r="B301" s="123"/>
      <c r="C301" s="123"/>
      <c r="D301" s="123"/>
      <c r="O301" s="26"/>
      <c r="P301" s="15"/>
      <c r="Q301" s="115"/>
      <c r="R301" s="115"/>
      <c r="S301" s="115"/>
      <c r="T301" s="115"/>
      <c r="U301" s="115"/>
      <c r="V301" s="115"/>
      <c r="W301" s="115"/>
      <c r="X301" s="115"/>
      <c r="Y301" s="115"/>
      <c r="Z301" s="25">
        <v>45682</v>
      </c>
      <c r="AA301" s="105" t="s">
        <v>148</v>
      </c>
      <c r="AF301" s="117"/>
      <c r="AG301" s="123"/>
      <c r="AH301" s="123"/>
      <c r="AI301" s="123"/>
      <c r="AN301" s="115"/>
      <c r="AO301" s="115"/>
      <c r="AP301" s="115"/>
      <c r="AQ301" s="115"/>
      <c r="AR301" s="115"/>
      <c r="AS301" s="115"/>
      <c r="AT301" s="115"/>
      <c r="AU301" s="115"/>
      <c r="AV301" s="115"/>
      <c r="AW301" s="115"/>
      <c r="AX301" s="13"/>
      <c r="AY301" s="13"/>
      <c r="BB301" s="114"/>
    </row>
    <row r="302" spans="1:54" ht="19.5" x14ac:dyDescent="0.4">
      <c r="A302" s="117"/>
      <c r="B302" s="123"/>
      <c r="C302" s="123"/>
      <c r="D302" s="123"/>
      <c r="O302" s="26"/>
      <c r="P302" s="15"/>
      <c r="Q302" s="115"/>
      <c r="R302" s="115"/>
      <c r="S302" s="115"/>
      <c r="T302" s="115"/>
      <c r="U302" s="115"/>
      <c r="V302" s="115"/>
      <c r="W302" s="115"/>
      <c r="X302" s="115"/>
      <c r="Y302" s="115"/>
      <c r="Z302" s="25">
        <v>45682</v>
      </c>
      <c r="AA302" s="105" t="s">
        <v>146</v>
      </c>
      <c r="AF302" s="117"/>
      <c r="AG302" s="123"/>
      <c r="AH302" s="123"/>
      <c r="AI302" s="123"/>
      <c r="AN302" s="115"/>
      <c r="AO302" s="115"/>
      <c r="AP302" s="115"/>
      <c r="AQ302" s="115"/>
      <c r="AR302" s="115"/>
      <c r="AS302" s="115"/>
      <c r="AT302" s="115"/>
      <c r="AU302" s="115"/>
      <c r="AV302" s="115"/>
      <c r="AW302" s="115"/>
      <c r="AX302" s="13"/>
      <c r="AY302" s="13"/>
      <c r="BB302" s="114"/>
    </row>
    <row r="303" spans="1:54" ht="19.5" x14ac:dyDescent="0.4">
      <c r="A303" s="117"/>
      <c r="B303" s="123"/>
      <c r="C303" s="123"/>
      <c r="D303" s="123"/>
      <c r="O303" s="129"/>
      <c r="P303" s="15"/>
      <c r="Q303" s="115"/>
      <c r="R303" s="115"/>
      <c r="S303" s="115"/>
      <c r="T303" s="115"/>
      <c r="U303" s="115"/>
      <c r="V303" s="115"/>
      <c r="W303" s="115"/>
      <c r="X303" s="115"/>
      <c r="Y303" s="115"/>
      <c r="Z303" s="25"/>
      <c r="AA303" s="105"/>
      <c r="AF303" s="117"/>
      <c r="AG303" s="123"/>
      <c r="AH303" s="123"/>
      <c r="AI303" s="123"/>
      <c r="AN303" s="115"/>
      <c r="AO303" s="115"/>
      <c r="AP303" s="115"/>
      <c r="AQ303" s="115"/>
      <c r="AR303" s="115"/>
      <c r="AS303" s="115"/>
      <c r="AT303" s="115"/>
      <c r="AU303" s="115"/>
      <c r="AV303" s="115"/>
      <c r="AW303" s="115"/>
      <c r="AX303" s="13"/>
      <c r="AY303" s="13"/>
      <c r="BB303" s="114"/>
    </row>
    <row r="304" spans="1:54" ht="19.5" x14ac:dyDescent="0.4">
      <c r="A304" s="117"/>
      <c r="B304" s="123"/>
      <c r="C304" s="123"/>
      <c r="D304" s="123"/>
      <c r="F304" s="115"/>
      <c r="G304" s="115"/>
      <c r="H304" s="115"/>
      <c r="I304" s="115"/>
      <c r="J304" s="115"/>
      <c r="K304" s="115"/>
      <c r="L304" s="115"/>
      <c r="M304" s="115"/>
      <c r="N304" s="115"/>
      <c r="O304" s="26"/>
      <c r="P304" s="15"/>
      <c r="Q304" s="115"/>
      <c r="R304" s="115"/>
      <c r="S304" s="115"/>
      <c r="T304" s="115"/>
      <c r="U304" s="115"/>
      <c r="V304" s="115"/>
      <c r="W304" s="115"/>
      <c r="X304" s="115"/>
      <c r="Y304" s="115"/>
      <c r="Z304" s="25">
        <v>45682</v>
      </c>
      <c r="AA304" s="15" t="s">
        <v>146</v>
      </c>
      <c r="AF304" s="117"/>
      <c r="AG304" s="123"/>
      <c r="AH304" s="123"/>
      <c r="AI304" s="123"/>
      <c r="AN304" s="115"/>
      <c r="AO304" s="115"/>
      <c r="AP304" s="115"/>
      <c r="AQ304" s="115"/>
      <c r="AR304" s="115"/>
      <c r="AS304" s="115"/>
      <c r="AT304" s="115"/>
      <c r="AU304" s="115"/>
      <c r="AV304" s="115"/>
      <c r="AW304" s="115"/>
      <c r="AX304" s="13"/>
      <c r="AY304" s="13"/>
      <c r="BB304" s="114"/>
    </row>
    <row r="305" spans="1:54" ht="19.5" x14ac:dyDescent="0.4">
      <c r="A305" s="117"/>
      <c r="B305" s="123"/>
      <c r="C305" s="123"/>
      <c r="D305" s="123"/>
      <c r="F305" s="115"/>
      <c r="G305" s="115"/>
      <c r="H305" s="115"/>
      <c r="I305" s="115"/>
      <c r="J305" s="115"/>
      <c r="K305" s="115"/>
      <c r="L305" s="115"/>
      <c r="M305" s="115"/>
      <c r="N305" s="115"/>
      <c r="O305" s="26"/>
      <c r="P305" s="15"/>
      <c r="Q305" s="115"/>
      <c r="R305" s="115"/>
      <c r="S305" s="115"/>
      <c r="T305" s="115"/>
      <c r="U305" s="115"/>
      <c r="V305" s="115"/>
      <c r="W305" s="115"/>
      <c r="X305" s="115"/>
      <c r="Y305" s="115"/>
      <c r="Z305" s="25">
        <v>45683</v>
      </c>
      <c r="AA305" s="13" t="s">
        <v>147</v>
      </c>
      <c r="AF305" s="117"/>
      <c r="AG305" s="123"/>
      <c r="AH305" s="123"/>
      <c r="AI305" s="123"/>
      <c r="AN305" s="115"/>
      <c r="AO305" s="115"/>
      <c r="AP305" s="115"/>
      <c r="AQ305" s="115"/>
      <c r="AR305" s="115"/>
      <c r="AS305" s="115"/>
      <c r="AT305" s="115"/>
      <c r="AU305" s="115"/>
      <c r="AV305" s="115"/>
      <c r="AW305" s="115"/>
      <c r="AX305" s="13"/>
      <c r="AY305" s="13"/>
      <c r="BB305" s="114"/>
    </row>
    <row r="306" spans="1:54" ht="19.5" x14ac:dyDescent="0.4">
      <c r="A306" s="117"/>
      <c r="B306" s="123"/>
      <c r="C306" s="123"/>
      <c r="D306" s="123"/>
      <c r="F306" s="115"/>
      <c r="G306" s="115"/>
      <c r="H306" s="115"/>
      <c r="I306" s="115"/>
      <c r="J306" s="115"/>
      <c r="K306" s="115"/>
      <c r="L306" s="115"/>
      <c r="M306" s="115"/>
      <c r="N306" s="115"/>
      <c r="O306" s="26"/>
      <c r="P306" s="13"/>
      <c r="Q306" s="115"/>
      <c r="R306" s="115"/>
      <c r="S306" s="115"/>
      <c r="T306" s="115"/>
      <c r="U306" s="115"/>
      <c r="V306" s="115"/>
      <c r="W306" s="115"/>
      <c r="X306" s="115"/>
      <c r="Y306" s="115"/>
      <c r="Z306" s="25">
        <v>45683</v>
      </c>
      <c r="AA306" s="13" t="s">
        <v>147</v>
      </c>
      <c r="AF306" s="117"/>
      <c r="AG306" s="123"/>
      <c r="AH306" s="123"/>
      <c r="AI306" s="123"/>
      <c r="AN306" s="115"/>
      <c r="AO306" s="115"/>
      <c r="AP306" s="115"/>
      <c r="AQ306" s="115"/>
      <c r="AR306" s="115"/>
      <c r="AS306" s="115"/>
      <c r="AT306" s="115"/>
      <c r="AU306" s="115"/>
      <c r="AV306" s="115"/>
      <c r="AW306" s="115"/>
      <c r="AX306" s="13"/>
      <c r="AY306" s="13"/>
      <c r="BB306" s="114"/>
    </row>
    <row r="307" spans="1:54" ht="19.5" x14ac:dyDescent="0.4">
      <c r="A307" s="117"/>
      <c r="B307" s="123"/>
      <c r="C307" s="123"/>
      <c r="D307" s="123"/>
      <c r="F307" s="115"/>
      <c r="G307" s="115"/>
      <c r="H307" s="115"/>
      <c r="I307" s="115"/>
      <c r="J307" s="115"/>
      <c r="K307" s="115"/>
      <c r="L307" s="115"/>
      <c r="M307" s="115"/>
      <c r="N307" s="115"/>
      <c r="O307" s="26"/>
      <c r="P307" s="13"/>
      <c r="Q307" s="115"/>
      <c r="R307" s="115"/>
      <c r="S307" s="115"/>
      <c r="T307" s="115"/>
      <c r="U307" s="115"/>
      <c r="V307" s="115"/>
      <c r="W307" s="115"/>
      <c r="X307" s="115"/>
      <c r="Y307" s="115"/>
      <c r="Z307" s="25"/>
      <c r="AA307" s="13"/>
      <c r="AF307" s="117"/>
      <c r="AG307" s="123"/>
      <c r="AH307" s="123"/>
      <c r="AI307" s="123"/>
      <c r="AN307" s="115"/>
      <c r="AO307" s="115"/>
      <c r="AP307" s="115"/>
      <c r="AQ307" s="115"/>
      <c r="AR307" s="115"/>
      <c r="AS307" s="115"/>
      <c r="AT307" s="115"/>
      <c r="AU307" s="115"/>
      <c r="AV307" s="115"/>
      <c r="AW307" s="115"/>
      <c r="AX307" s="13"/>
      <c r="AY307" s="13"/>
      <c r="BB307" s="114"/>
    </row>
    <row r="308" spans="1:54" ht="19.5" x14ac:dyDescent="0.4">
      <c r="A308" s="117"/>
      <c r="B308" s="123"/>
      <c r="C308" s="123"/>
      <c r="D308" s="123"/>
      <c r="F308" s="115"/>
      <c r="G308" s="115"/>
      <c r="H308" s="115"/>
      <c r="I308" s="115"/>
      <c r="J308" s="115"/>
      <c r="K308" s="115"/>
      <c r="L308" s="115"/>
      <c r="M308" s="115"/>
      <c r="N308" s="115"/>
      <c r="O308" s="26"/>
      <c r="P308" s="13"/>
      <c r="Q308" s="115"/>
      <c r="R308" s="115"/>
      <c r="S308" s="115"/>
      <c r="T308" s="115"/>
      <c r="U308" s="115"/>
      <c r="V308" s="115"/>
      <c r="W308" s="115"/>
      <c r="X308" s="115"/>
      <c r="Y308" s="115"/>
      <c r="Z308" s="25">
        <v>45684</v>
      </c>
      <c r="AA308" s="13" t="s">
        <v>146</v>
      </c>
      <c r="AF308" s="117"/>
      <c r="AG308" s="123"/>
      <c r="AH308" s="123"/>
      <c r="AI308" s="123"/>
      <c r="AN308" s="115"/>
      <c r="AO308" s="115"/>
      <c r="AP308" s="115"/>
      <c r="AQ308" s="115"/>
      <c r="AR308" s="115"/>
      <c r="AS308" s="115"/>
      <c r="AT308" s="115"/>
      <c r="AU308" s="115"/>
      <c r="AV308" s="115"/>
      <c r="AW308" s="115"/>
      <c r="AX308" s="13"/>
      <c r="AY308" s="13"/>
      <c r="BB308" s="114"/>
    </row>
    <row r="309" spans="1:54" ht="19.5" x14ac:dyDescent="0.4">
      <c r="A309" s="117"/>
      <c r="B309" s="123"/>
      <c r="C309" s="123"/>
      <c r="D309" s="123"/>
      <c r="F309" s="115"/>
      <c r="G309" s="115"/>
      <c r="H309" s="115"/>
      <c r="I309" s="115"/>
      <c r="J309" s="115"/>
      <c r="K309" s="115"/>
      <c r="L309" s="115"/>
      <c r="M309" s="115"/>
      <c r="N309" s="115"/>
      <c r="O309" s="26"/>
      <c r="P309" s="13"/>
      <c r="Q309" s="115"/>
      <c r="R309" s="115"/>
      <c r="S309" s="115"/>
      <c r="T309" s="115"/>
      <c r="U309" s="115"/>
      <c r="V309" s="115"/>
      <c r="W309" s="115"/>
      <c r="X309" s="115"/>
      <c r="Y309" s="115"/>
      <c r="Z309" s="25"/>
      <c r="AA309" s="13"/>
      <c r="AF309" s="117"/>
      <c r="AG309" s="123"/>
      <c r="AH309" s="123"/>
      <c r="AI309" s="123"/>
      <c r="AN309" s="115"/>
      <c r="AO309" s="115"/>
      <c r="AP309" s="115"/>
      <c r="AQ309" s="115"/>
      <c r="AR309" s="115"/>
      <c r="AS309" s="115"/>
      <c r="AT309" s="115"/>
      <c r="AU309" s="115"/>
      <c r="AV309" s="115"/>
      <c r="AW309" s="115"/>
      <c r="AX309" s="13"/>
      <c r="AY309" s="13"/>
      <c r="BB309" s="114"/>
    </row>
    <row r="310" spans="1:54" ht="19.5" x14ac:dyDescent="0.4">
      <c r="A310" s="117"/>
      <c r="B310" s="123"/>
      <c r="C310" s="123"/>
      <c r="D310" s="123"/>
      <c r="F310" s="115"/>
      <c r="G310" s="115"/>
      <c r="H310" s="115"/>
      <c r="I310" s="115"/>
      <c r="J310" s="115"/>
      <c r="K310" s="115"/>
      <c r="L310" s="115"/>
      <c r="M310" s="115"/>
      <c r="N310" s="115"/>
      <c r="O310" s="129"/>
      <c r="P310" s="13"/>
      <c r="Q310" s="115"/>
      <c r="R310" s="115"/>
      <c r="S310" s="115"/>
      <c r="T310" s="115"/>
      <c r="U310" s="115"/>
      <c r="V310" s="115"/>
      <c r="W310" s="115"/>
      <c r="X310" s="115"/>
      <c r="Y310" s="115"/>
      <c r="Z310" s="25"/>
      <c r="AA310" s="13"/>
      <c r="AF310" s="117"/>
      <c r="AG310" s="123"/>
      <c r="AH310" s="123"/>
      <c r="AI310" s="123"/>
      <c r="AN310" s="115"/>
      <c r="AO310" s="115"/>
      <c r="AP310" s="115"/>
      <c r="AQ310" s="115"/>
      <c r="AR310" s="115"/>
      <c r="AS310" s="115"/>
      <c r="AT310" s="115"/>
      <c r="AU310" s="115"/>
      <c r="AV310" s="115"/>
      <c r="AW310" s="115"/>
      <c r="AX310" s="13"/>
      <c r="AY310" s="13"/>
      <c r="BB310" s="114"/>
    </row>
    <row r="311" spans="1:54" ht="19.5" x14ac:dyDescent="0.4">
      <c r="A311" s="117"/>
      <c r="B311" s="123"/>
      <c r="C311" s="123"/>
      <c r="D311" s="123"/>
      <c r="F311" s="115"/>
      <c r="G311" s="115"/>
      <c r="H311" s="115"/>
      <c r="I311" s="115"/>
      <c r="J311" s="115"/>
      <c r="K311" s="115"/>
      <c r="L311" s="115"/>
      <c r="M311" s="115"/>
      <c r="N311" s="115"/>
      <c r="O311" s="26"/>
      <c r="P311" s="13"/>
      <c r="Q311" s="115"/>
      <c r="R311" s="115"/>
      <c r="S311" s="115"/>
      <c r="T311" s="115"/>
      <c r="U311" s="115"/>
      <c r="V311" s="115"/>
      <c r="W311" s="115"/>
      <c r="X311" s="115"/>
      <c r="Y311" s="115"/>
      <c r="Z311" s="25">
        <v>45684</v>
      </c>
      <c r="AA311" s="13" t="s">
        <v>148</v>
      </c>
      <c r="AF311" s="117"/>
      <c r="AG311" s="123"/>
      <c r="AH311" s="123"/>
      <c r="AI311" s="123"/>
      <c r="AN311" s="115"/>
      <c r="AO311" s="115"/>
      <c r="AP311" s="115"/>
      <c r="AQ311" s="115"/>
      <c r="AR311" s="115"/>
      <c r="AS311" s="115"/>
      <c r="AT311" s="115"/>
      <c r="AU311" s="115"/>
      <c r="AV311" s="115"/>
      <c r="AW311" s="115"/>
      <c r="AX311" s="13"/>
      <c r="AY311" s="13"/>
      <c r="BB311" s="114"/>
    </row>
    <row r="312" spans="1:54" ht="19.5" x14ac:dyDescent="0.4">
      <c r="A312" s="117"/>
      <c r="B312" s="123"/>
      <c r="C312" s="123"/>
      <c r="D312" s="123"/>
      <c r="F312" s="115"/>
      <c r="G312" s="115"/>
      <c r="H312" s="115"/>
      <c r="I312" s="115"/>
      <c r="J312" s="115"/>
      <c r="K312" s="115"/>
      <c r="L312" s="115"/>
      <c r="M312" s="115"/>
      <c r="N312" s="115"/>
      <c r="O312" s="26"/>
      <c r="P312" s="13"/>
      <c r="Q312" s="115"/>
      <c r="R312" s="115"/>
      <c r="S312" s="115"/>
      <c r="T312" s="115"/>
      <c r="U312" s="115"/>
      <c r="V312" s="115"/>
      <c r="W312" s="115"/>
      <c r="X312" s="115"/>
      <c r="Y312" s="115"/>
      <c r="Z312" s="25"/>
      <c r="AA312" s="13"/>
      <c r="AF312" s="117"/>
      <c r="AG312" s="123"/>
      <c r="AH312" s="123"/>
      <c r="AI312" s="123"/>
      <c r="AN312" s="115"/>
      <c r="AO312" s="115"/>
      <c r="AP312" s="115"/>
      <c r="AQ312" s="115"/>
      <c r="AR312" s="115"/>
      <c r="AS312" s="115"/>
      <c r="AT312" s="115"/>
      <c r="AU312" s="115"/>
      <c r="AV312" s="115"/>
      <c r="AW312" s="115"/>
      <c r="AX312" s="13"/>
      <c r="AY312" s="13"/>
      <c r="BB312" s="114"/>
    </row>
    <row r="313" spans="1:54" ht="19.5" x14ac:dyDescent="0.4">
      <c r="A313" s="117"/>
      <c r="B313" s="123"/>
      <c r="C313" s="123"/>
      <c r="D313" s="123"/>
      <c r="F313" s="115"/>
      <c r="G313" s="115"/>
      <c r="H313" s="115"/>
      <c r="I313" s="115"/>
      <c r="J313" s="115"/>
      <c r="K313" s="115"/>
      <c r="L313" s="115"/>
      <c r="M313" s="115"/>
      <c r="N313" s="115"/>
      <c r="O313" s="26"/>
      <c r="P313" s="13"/>
      <c r="Q313" s="115"/>
      <c r="R313" s="115"/>
      <c r="S313" s="115"/>
      <c r="T313" s="115"/>
      <c r="U313" s="115"/>
      <c r="V313" s="115"/>
      <c r="W313" s="115"/>
      <c r="X313" s="115"/>
      <c r="Y313" s="115"/>
      <c r="Z313" s="25"/>
      <c r="AA313" s="13"/>
      <c r="AF313" s="117"/>
      <c r="AG313" s="123"/>
      <c r="AH313" s="123"/>
      <c r="AI313" s="123"/>
      <c r="AN313" s="115"/>
      <c r="AO313" s="115"/>
      <c r="AP313" s="115"/>
      <c r="AQ313" s="115"/>
      <c r="AR313" s="115"/>
      <c r="AS313" s="115"/>
      <c r="AT313" s="115"/>
      <c r="AU313" s="115"/>
      <c r="AV313" s="115"/>
      <c r="AW313" s="115"/>
      <c r="AX313" s="13"/>
      <c r="AY313" s="13"/>
      <c r="BB313" s="114"/>
    </row>
    <row r="314" spans="1:54" ht="19.5" x14ac:dyDescent="0.4">
      <c r="A314" s="117"/>
      <c r="B314" s="123"/>
      <c r="C314" s="123"/>
      <c r="D314" s="123"/>
      <c r="F314" s="115"/>
      <c r="G314" s="115"/>
      <c r="H314" s="115"/>
      <c r="I314" s="115"/>
      <c r="J314" s="115"/>
      <c r="K314" s="115"/>
      <c r="L314" s="115"/>
      <c r="M314" s="115"/>
      <c r="N314" s="115"/>
      <c r="O314" s="129"/>
      <c r="P314" s="13"/>
      <c r="Q314" s="115"/>
      <c r="R314" s="115"/>
      <c r="S314" s="115"/>
      <c r="T314" s="115"/>
      <c r="U314" s="115"/>
      <c r="V314" s="115"/>
      <c r="W314" s="115"/>
      <c r="X314" s="115"/>
      <c r="Y314" s="115"/>
      <c r="Z314" s="25"/>
      <c r="AA314" s="13"/>
      <c r="AF314" s="117"/>
      <c r="AG314" s="123"/>
      <c r="AH314" s="123"/>
      <c r="AI314" s="123"/>
      <c r="AN314" s="115"/>
      <c r="AO314" s="115"/>
      <c r="AP314" s="115"/>
      <c r="AQ314" s="115"/>
      <c r="AR314" s="115"/>
      <c r="AS314" s="115"/>
      <c r="AT314" s="115"/>
      <c r="AU314" s="115"/>
      <c r="AV314" s="115"/>
      <c r="AW314" s="115"/>
      <c r="AX314" s="13"/>
      <c r="AY314" s="13"/>
      <c r="BB314" s="114"/>
    </row>
    <row r="315" spans="1:54" ht="19.5" x14ac:dyDescent="0.4">
      <c r="A315" s="117"/>
      <c r="B315" s="123"/>
      <c r="C315" s="123"/>
      <c r="D315" s="123"/>
      <c r="F315" s="115"/>
      <c r="G315" s="115"/>
      <c r="H315" s="115"/>
      <c r="I315" s="115"/>
      <c r="J315" s="115"/>
      <c r="K315" s="115"/>
      <c r="L315" s="115"/>
      <c r="M315" s="115"/>
      <c r="N315" s="115"/>
      <c r="O315" s="26"/>
      <c r="P315" s="25"/>
      <c r="Q315" s="115"/>
      <c r="R315" s="115"/>
      <c r="S315" s="115"/>
      <c r="T315" s="115"/>
      <c r="U315" s="115"/>
      <c r="V315" s="115"/>
      <c r="W315" s="115"/>
      <c r="X315" s="115"/>
      <c r="Y315" s="115"/>
      <c r="Z315" s="25"/>
      <c r="AA315" s="13"/>
      <c r="AF315" s="117"/>
      <c r="AG315" s="123"/>
      <c r="AH315" s="123"/>
      <c r="AI315" s="123"/>
      <c r="AN315" s="115"/>
      <c r="AO315" s="115"/>
      <c r="AP315" s="115"/>
      <c r="AQ315" s="115"/>
      <c r="AR315" s="115"/>
      <c r="AS315" s="115"/>
      <c r="AT315" s="115"/>
      <c r="AU315" s="115"/>
      <c r="AV315" s="115"/>
      <c r="AW315" s="115"/>
      <c r="AX315" s="13"/>
      <c r="AY315" s="13"/>
      <c r="BB315" s="114"/>
    </row>
    <row r="316" spans="1:54" ht="19.5" x14ac:dyDescent="0.4">
      <c r="A316" s="117"/>
      <c r="B316" s="123"/>
      <c r="C316" s="123"/>
      <c r="D316" s="123"/>
      <c r="F316" s="115"/>
      <c r="G316" s="115"/>
      <c r="H316" s="115"/>
      <c r="I316" s="115"/>
      <c r="J316" s="115"/>
      <c r="K316" s="115"/>
      <c r="L316" s="115"/>
      <c r="M316" s="115"/>
      <c r="N316" s="115"/>
      <c r="O316" s="26"/>
      <c r="P316" s="13"/>
      <c r="Q316" s="115"/>
      <c r="R316" s="115"/>
      <c r="S316" s="115"/>
      <c r="T316" s="115"/>
      <c r="U316" s="115"/>
      <c r="V316" s="115"/>
      <c r="W316" s="115"/>
      <c r="X316" s="115"/>
      <c r="Y316" s="115"/>
      <c r="Z316" s="25"/>
      <c r="AA316" s="13"/>
      <c r="AF316" s="117"/>
      <c r="AG316" s="123"/>
      <c r="AH316" s="123"/>
      <c r="AI316" s="123"/>
      <c r="AN316" s="115"/>
      <c r="AO316" s="115"/>
      <c r="AP316" s="115"/>
      <c r="AQ316" s="115"/>
      <c r="AR316" s="115"/>
      <c r="AS316" s="115"/>
      <c r="AT316" s="115"/>
      <c r="AU316" s="115"/>
      <c r="AV316" s="115"/>
      <c r="AW316" s="115"/>
      <c r="AX316" s="13"/>
      <c r="AY316" s="13"/>
      <c r="BB316" s="114"/>
    </row>
    <row r="317" spans="1:54" ht="19.5" x14ac:dyDescent="0.4">
      <c r="A317" s="117"/>
      <c r="B317" s="123"/>
      <c r="C317" s="123"/>
      <c r="D317" s="123"/>
      <c r="F317" s="115"/>
      <c r="G317" s="115"/>
      <c r="H317" s="115"/>
      <c r="I317" s="115"/>
      <c r="J317" s="115"/>
      <c r="K317" s="115"/>
      <c r="L317" s="115"/>
      <c r="M317" s="115"/>
      <c r="N317" s="115"/>
      <c r="O317" s="26"/>
      <c r="P317" s="13"/>
      <c r="Q317" s="115"/>
      <c r="R317" s="115"/>
      <c r="S317" s="115"/>
      <c r="T317" s="115"/>
      <c r="U317" s="115"/>
      <c r="V317" s="115"/>
      <c r="W317" s="115"/>
      <c r="X317" s="115"/>
      <c r="Y317" s="115"/>
      <c r="Z317" s="25"/>
      <c r="AA317" s="13"/>
      <c r="AF317" s="117"/>
      <c r="AG317" s="123"/>
      <c r="AH317" s="123"/>
      <c r="AI317" s="123"/>
      <c r="AN317" s="115"/>
      <c r="AO317" s="115"/>
      <c r="AP317" s="115"/>
      <c r="AQ317" s="115"/>
      <c r="AR317" s="115"/>
      <c r="AS317" s="115"/>
      <c r="AT317" s="115"/>
      <c r="AU317" s="115"/>
      <c r="AV317" s="115"/>
      <c r="AW317" s="115"/>
      <c r="AX317" s="13"/>
      <c r="AY317" s="13"/>
      <c r="BB317" s="114"/>
    </row>
    <row r="318" spans="1:54" ht="19.5" x14ac:dyDescent="0.4">
      <c r="A318" s="117"/>
      <c r="B318" s="123"/>
      <c r="C318" s="123"/>
      <c r="D318" s="123"/>
      <c r="F318" s="115"/>
      <c r="G318" s="115"/>
      <c r="H318" s="115"/>
      <c r="I318" s="115"/>
      <c r="J318" s="115"/>
      <c r="K318" s="115"/>
      <c r="L318" s="115"/>
      <c r="M318" s="115"/>
      <c r="N318" s="115"/>
      <c r="O318" s="129"/>
      <c r="P318" s="13"/>
      <c r="Q318" s="115"/>
      <c r="R318" s="115"/>
      <c r="S318" s="115"/>
      <c r="T318" s="115"/>
      <c r="U318" s="115"/>
      <c r="V318" s="115"/>
      <c r="W318" s="115"/>
      <c r="X318" s="115"/>
      <c r="Y318" s="115"/>
      <c r="Z318" s="25"/>
      <c r="AA318" s="13"/>
      <c r="AF318" s="117"/>
      <c r="AG318" s="123"/>
      <c r="AH318" s="123"/>
      <c r="AI318" s="123"/>
      <c r="AN318" s="115"/>
      <c r="AO318" s="115"/>
      <c r="AP318" s="115"/>
      <c r="AQ318" s="115"/>
      <c r="AR318" s="115"/>
      <c r="AS318" s="115"/>
      <c r="AT318" s="115"/>
      <c r="AU318" s="115"/>
      <c r="AV318" s="115"/>
      <c r="AW318" s="115"/>
      <c r="AX318" s="13"/>
      <c r="AY318" s="13"/>
      <c r="BB318" s="114"/>
    </row>
    <row r="319" spans="1:54" ht="19.5" x14ac:dyDescent="0.4">
      <c r="A319" s="117"/>
      <c r="B319" s="123"/>
      <c r="C319" s="123"/>
      <c r="D319" s="123"/>
      <c r="F319" s="115"/>
      <c r="G319" s="115"/>
      <c r="H319" s="115"/>
      <c r="I319" s="115"/>
      <c r="J319" s="115"/>
      <c r="K319" s="115"/>
      <c r="L319" s="115"/>
      <c r="M319" s="115"/>
      <c r="N319" s="115"/>
      <c r="O319" s="26"/>
      <c r="P319" s="134"/>
      <c r="Q319" s="115"/>
      <c r="R319" s="115"/>
      <c r="S319" s="115"/>
      <c r="T319" s="115"/>
      <c r="U319" s="115"/>
      <c r="V319" s="115"/>
      <c r="W319" s="115"/>
      <c r="X319" s="115"/>
      <c r="Y319" s="115"/>
      <c r="Z319" s="25"/>
      <c r="AA319" s="13"/>
      <c r="AF319" s="117"/>
      <c r="AG319" s="123"/>
      <c r="AH319" s="123"/>
      <c r="AI319" s="123"/>
      <c r="AN319" s="115"/>
      <c r="AO319" s="115"/>
      <c r="AP319" s="115"/>
      <c r="AQ319" s="115"/>
      <c r="AR319" s="115"/>
      <c r="AS319" s="115"/>
      <c r="AT319" s="115"/>
      <c r="AU319" s="115"/>
      <c r="AV319" s="115"/>
      <c r="AW319" s="115"/>
      <c r="AX319" s="13"/>
      <c r="AY319" s="13"/>
      <c r="BB319" s="114"/>
    </row>
    <row r="320" spans="1:54" ht="19.5" x14ac:dyDescent="0.4">
      <c r="A320" s="117"/>
      <c r="B320" s="123"/>
      <c r="C320" s="123"/>
      <c r="D320" s="123"/>
      <c r="F320" s="115"/>
      <c r="G320" s="115"/>
      <c r="H320" s="115"/>
      <c r="I320" s="115"/>
      <c r="J320" s="115"/>
      <c r="K320" s="115"/>
      <c r="L320" s="115"/>
      <c r="M320" s="115"/>
      <c r="N320" s="115"/>
      <c r="O320" s="26"/>
      <c r="P320" s="13"/>
      <c r="Q320" s="115"/>
      <c r="R320" s="115"/>
      <c r="S320" s="115"/>
      <c r="T320" s="115"/>
      <c r="U320" s="115"/>
      <c r="V320" s="115"/>
      <c r="W320" s="115"/>
      <c r="X320" s="115"/>
      <c r="Y320" s="115"/>
      <c r="Z320" s="25">
        <v>45684</v>
      </c>
      <c r="AA320" s="13" t="s">
        <v>147</v>
      </c>
      <c r="AF320" s="117"/>
      <c r="AG320" s="123"/>
      <c r="AH320" s="123"/>
      <c r="AI320" s="123"/>
      <c r="AN320" s="115"/>
      <c r="AO320" s="115"/>
      <c r="AP320" s="115"/>
      <c r="AQ320" s="115"/>
      <c r="AR320" s="115"/>
      <c r="AS320" s="115"/>
      <c r="AT320" s="115"/>
      <c r="AU320" s="115"/>
      <c r="AV320" s="115"/>
      <c r="AW320" s="115"/>
      <c r="AX320" s="13"/>
      <c r="AY320" s="13"/>
      <c r="BB320" s="114"/>
    </row>
    <row r="321" spans="1:54" ht="19.5" x14ac:dyDescent="0.4">
      <c r="A321" s="117"/>
      <c r="B321" s="123"/>
      <c r="C321" s="123"/>
      <c r="D321" s="123"/>
      <c r="F321" s="115"/>
      <c r="G321" s="115"/>
      <c r="H321" s="115"/>
      <c r="I321" s="115"/>
      <c r="J321" s="115"/>
      <c r="K321" s="115"/>
      <c r="L321" s="115"/>
      <c r="M321" s="115"/>
      <c r="N321" s="115"/>
      <c r="O321" s="129"/>
      <c r="P321" s="13"/>
      <c r="Q321" s="115"/>
      <c r="R321" s="115"/>
      <c r="S321" s="115"/>
      <c r="T321" s="115"/>
      <c r="U321" s="115"/>
      <c r="V321" s="115"/>
      <c r="W321" s="115"/>
      <c r="X321" s="115"/>
      <c r="Y321" s="115"/>
      <c r="Z321" s="25"/>
      <c r="AA321" s="13"/>
      <c r="AF321" s="117"/>
      <c r="AG321" s="123"/>
      <c r="AH321" s="123"/>
      <c r="AI321" s="123"/>
      <c r="AN321" s="115"/>
      <c r="AO321" s="115"/>
      <c r="AP321" s="115"/>
      <c r="AQ321" s="115"/>
      <c r="AR321" s="115"/>
      <c r="AS321" s="115"/>
      <c r="AT321" s="115"/>
      <c r="AU321" s="115"/>
      <c r="AV321" s="115"/>
      <c r="AW321" s="115"/>
      <c r="AX321" s="13"/>
      <c r="AY321" s="13"/>
      <c r="BB321" s="114"/>
    </row>
    <row r="322" spans="1:54" ht="19.5" x14ac:dyDescent="0.4">
      <c r="A322" s="117"/>
      <c r="B322" s="123"/>
      <c r="C322" s="123"/>
      <c r="D322" s="123"/>
      <c r="F322" s="115"/>
      <c r="G322" s="115"/>
      <c r="H322" s="115"/>
      <c r="I322" s="115"/>
      <c r="J322" s="115"/>
      <c r="K322" s="115"/>
      <c r="L322" s="115"/>
      <c r="M322" s="115"/>
      <c r="N322" s="115"/>
      <c r="O322" s="26"/>
      <c r="P322" s="13"/>
      <c r="Q322" s="115"/>
      <c r="R322" s="115"/>
      <c r="S322" s="115"/>
      <c r="T322" s="115"/>
      <c r="U322" s="115"/>
      <c r="V322" s="115"/>
      <c r="W322" s="115"/>
      <c r="X322" s="115"/>
      <c r="Y322" s="115"/>
      <c r="Z322" s="25"/>
      <c r="AA322" s="13"/>
      <c r="AF322" s="117"/>
      <c r="AG322" s="123"/>
      <c r="AH322" s="123"/>
      <c r="AI322" s="123"/>
      <c r="AN322" s="115"/>
      <c r="AO322" s="115"/>
      <c r="AP322" s="115"/>
      <c r="AQ322" s="115"/>
      <c r="AR322" s="115"/>
      <c r="AS322" s="115"/>
      <c r="AT322" s="115"/>
      <c r="AU322" s="115"/>
      <c r="AV322" s="115"/>
      <c r="AW322" s="115"/>
      <c r="AX322" s="13"/>
      <c r="AY322" s="13"/>
      <c r="BB322" s="114"/>
    </row>
    <row r="323" spans="1:54" ht="19.5" x14ac:dyDescent="0.4">
      <c r="A323" s="117"/>
      <c r="B323" s="123"/>
      <c r="C323" s="123"/>
      <c r="D323" s="123"/>
      <c r="F323" s="115"/>
      <c r="G323" s="115"/>
      <c r="H323" s="115"/>
      <c r="I323" s="115"/>
      <c r="J323" s="115"/>
      <c r="K323" s="115"/>
      <c r="L323" s="115"/>
      <c r="M323" s="115"/>
      <c r="N323" s="115"/>
      <c r="O323" s="26"/>
      <c r="P323" s="15"/>
      <c r="Q323" s="115"/>
      <c r="R323" s="115"/>
      <c r="S323" s="115"/>
      <c r="T323" s="115"/>
      <c r="U323" s="115"/>
      <c r="V323" s="115"/>
      <c r="W323" s="115"/>
      <c r="X323" s="115"/>
      <c r="Y323" s="115"/>
      <c r="Z323" s="25">
        <v>45684</v>
      </c>
      <c r="AA323" s="13" t="s">
        <v>146</v>
      </c>
      <c r="AF323" s="117"/>
      <c r="AG323" s="123"/>
      <c r="AH323" s="123"/>
      <c r="AI323" s="123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3"/>
      <c r="AY323" s="13"/>
      <c r="BB323" s="114"/>
    </row>
    <row r="324" spans="1:54" ht="19.5" x14ac:dyDescent="0.4">
      <c r="A324" s="117"/>
      <c r="B324" s="123"/>
      <c r="C324" s="123"/>
      <c r="D324" s="123"/>
      <c r="F324" s="115"/>
      <c r="G324" s="115"/>
      <c r="H324" s="115"/>
      <c r="I324" s="115"/>
      <c r="J324" s="115"/>
      <c r="K324" s="115"/>
      <c r="L324" s="115"/>
      <c r="M324" s="115"/>
      <c r="N324" s="115"/>
      <c r="O324" s="129"/>
      <c r="P324" s="15"/>
      <c r="Q324" s="115"/>
      <c r="R324" s="115"/>
      <c r="S324" s="115"/>
      <c r="T324" s="115"/>
      <c r="U324" s="115"/>
      <c r="V324" s="115"/>
      <c r="W324" s="115"/>
      <c r="X324" s="115"/>
      <c r="Y324" s="115"/>
      <c r="Z324" s="25"/>
      <c r="AA324" s="13"/>
      <c r="AF324" s="117"/>
      <c r="AG324" s="123"/>
      <c r="AH324" s="123"/>
      <c r="AI324" s="123"/>
      <c r="AN324" s="115"/>
      <c r="AO324" s="115"/>
      <c r="AP324" s="115"/>
      <c r="AQ324" s="115"/>
      <c r="AR324" s="115"/>
      <c r="AS324" s="115"/>
      <c r="AT324" s="115"/>
      <c r="AU324" s="115"/>
      <c r="AV324" s="115"/>
      <c r="AW324" s="115"/>
      <c r="AX324" s="13"/>
      <c r="AY324" s="13"/>
      <c r="BB324" s="114"/>
    </row>
    <row r="325" spans="1:54" ht="19.5" x14ac:dyDescent="0.4">
      <c r="A325" s="117"/>
      <c r="B325" s="123"/>
      <c r="C325" s="123"/>
      <c r="D325" s="123"/>
      <c r="F325" s="115"/>
      <c r="G325" s="115"/>
      <c r="H325" s="115"/>
      <c r="I325" s="115"/>
      <c r="J325" s="115"/>
      <c r="K325" s="115"/>
      <c r="L325" s="115"/>
      <c r="M325" s="115"/>
      <c r="N325" s="115"/>
      <c r="O325" s="26"/>
      <c r="P325" s="15"/>
      <c r="Q325" s="115"/>
      <c r="R325" s="115"/>
      <c r="S325" s="115"/>
      <c r="T325" s="115"/>
      <c r="U325" s="115"/>
      <c r="V325" s="115"/>
      <c r="W325" s="115"/>
      <c r="X325" s="115"/>
      <c r="Y325" s="115"/>
      <c r="Z325" s="25"/>
      <c r="AA325" s="13"/>
      <c r="AF325" s="117"/>
      <c r="AG325" s="123"/>
      <c r="AH325" s="123"/>
      <c r="AI325" s="123"/>
      <c r="AN325" s="115"/>
      <c r="AO325" s="115"/>
      <c r="AP325" s="115"/>
      <c r="AQ325" s="115"/>
      <c r="AR325" s="115"/>
      <c r="AS325" s="115"/>
      <c r="AT325" s="115"/>
      <c r="AU325" s="115"/>
      <c r="AV325" s="115"/>
      <c r="AW325" s="115"/>
      <c r="AX325" s="13"/>
      <c r="AY325" s="13"/>
      <c r="BB325" s="114"/>
    </row>
    <row r="326" spans="1:54" ht="19.5" x14ac:dyDescent="0.4">
      <c r="A326" s="117"/>
      <c r="B326" s="123"/>
      <c r="C326" s="123"/>
      <c r="D326" s="123"/>
      <c r="F326" s="115"/>
      <c r="G326" s="115"/>
      <c r="H326" s="115"/>
      <c r="I326" s="115"/>
      <c r="J326" s="115"/>
      <c r="K326" s="115"/>
      <c r="L326" s="115"/>
      <c r="M326" s="115"/>
      <c r="N326" s="115"/>
      <c r="O326" s="129"/>
      <c r="P326" s="15"/>
      <c r="Q326" s="115"/>
      <c r="R326" s="115"/>
      <c r="S326" s="115"/>
      <c r="T326" s="115"/>
      <c r="U326" s="115"/>
      <c r="V326" s="115"/>
      <c r="W326" s="115"/>
      <c r="X326" s="115"/>
      <c r="Y326" s="115"/>
      <c r="Z326" s="25"/>
      <c r="AA326" s="13"/>
      <c r="AF326" s="117"/>
      <c r="AG326" s="123"/>
      <c r="AH326" s="123"/>
      <c r="AI326" s="123"/>
      <c r="AN326" s="115"/>
      <c r="AO326" s="115"/>
      <c r="AP326" s="115"/>
      <c r="AQ326" s="115"/>
      <c r="AR326" s="115"/>
      <c r="AS326" s="115"/>
      <c r="AT326" s="115"/>
      <c r="AU326" s="115"/>
      <c r="AV326" s="115"/>
      <c r="AW326" s="115"/>
      <c r="AX326" s="13"/>
      <c r="AY326" s="13"/>
      <c r="BB326" s="114"/>
    </row>
    <row r="327" spans="1:54" ht="19.5" x14ac:dyDescent="0.4">
      <c r="A327" s="117"/>
      <c r="B327" s="123"/>
      <c r="C327" s="123"/>
      <c r="D327" s="123"/>
      <c r="F327" s="115"/>
      <c r="G327" s="115"/>
      <c r="H327" s="115"/>
      <c r="I327" s="115"/>
      <c r="J327" s="115"/>
      <c r="K327" s="115"/>
      <c r="L327" s="115"/>
      <c r="M327" s="115"/>
      <c r="N327" s="115"/>
      <c r="O327" s="26"/>
      <c r="P327" s="15"/>
      <c r="Q327" s="115"/>
      <c r="R327" s="115"/>
      <c r="S327" s="115"/>
      <c r="T327" s="115"/>
      <c r="U327" s="115"/>
      <c r="V327" s="115"/>
      <c r="W327" s="115"/>
      <c r="X327" s="115"/>
      <c r="Y327" s="115"/>
      <c r="Z327" s="25"/>
      <c r="AA327" s="13"/>
      <c r="AF327" s="117"/>
      <c r="AG327" s="123"/>
      <c r="AH327" s="123"/>
      <c r="AI327" s="123"/>
      <c r="AN327" s="115"/>
      <c r="AO327" s="115"/>
      <c r="AP327" s="115"/>
      <c r="AQ327" s="115"/>
      <c r="AR327" s="115"/>
      <c r="AS327" s="115"/>
      <c r="AT327" s="115"/>
      <c r="AU327" s="115"/>
      <c r="AV327" s="115"/>
      <c r="AW327" s="115"/>
      <c r="AX327" s="13"/>
      <c r="AY327" s="13"/>
      <c r="BB327" s="114"/>
    </row>
    <row r="328" spans="1:54" ht="19.5" x14ac:dyDescent="0.4">
      <c r="A328" s="117"/>
      <c r="B328" s="123"/>
      <c r="C328" s="123"/>
      <c r="D328" s="123"/>
      <c r="F328" s="115"/>
      <c r="G328" s="115"/>
      <c r="H328" s="115"/>
      <c r="I328" s="115"/>
      <c r="J328" s="115"/>
      <c r="K328" s="115"/>
      <c r="L328" s="115"/>
      <c r="M328" s="115"/>
      <c r="N328" s="115"/>
      <c r="O328" s="129"/>
      <c r="P328" s="15"/>
      <c r="Q328" s="115"/>
      <c r="R328" s="115"/>
      <c r="S328" s="115"/>
      <c r="T328" s="115"/>
      <c r="U328" s="115"/>
      <c r="V328" s="115"/>
      <c r="W328" s="115"/>
      <c r="X328" s="115"/>
      <c r="Y328" s="115"/>
      <c r="Z328" s="25"/>
      <c r="AA328" s="13"/>
      <c r="AF328" s="117"/>
      <c r="AG328" s="123"/>
      <c r="AH328" s="123"/>
      <c r="AI328" s="123"/>
      <c r="AN328" s="115"/>
      <c r="AO328" s="115"/>
      <c r="AP328" s="115"/>
      <c r="AQ328" s="115"/>
      <c r="AR328" s="115"/>
      <c r="AS328" s="115"/>
      <c r="AT328" s="115"/>
      <c r="AU328" s="115"/>
      <c r="AV328" s="115"/>
      <c r="AW328" s="115"/>
      <c r="AX328" s="13"/>
      <c r="AY328" s="13"/>
      <c r="BB328" s="114"/>
    </row>
    <row r="329" spans="1:54" ht="19.5" x14ac:dyDescent="0.4">
      <c r="A329" s="117"/>
      <c r="B329" s="123"/>
      <c r="C329" s="123"/>
      <c r="D329" s="123"/>
      <c r="F329" s="115"/>
      <c r="G329" s="115"/>
      <c r="H329" s="115"/>
      <c r="I329" s="115"/>
      <c r="J329" s="115"/>
      <c r="K329" s="115"/>
      <c r="L329" s="115"/>
      <c r="M329" s="115"/>
      <c r="N329" s="115"/>
      <c r="O329" s="129"/>
      <c r="P329" s="15"/>
      <c r="Q329" s="115"/>
      <c r="R329" s="115"/>
      <c r="S329" s="115"/>
      <c r="T329" s="115"/>
      <c r="U329" s="115"/>
      <c r="V329" s="115"/>
      <c r="W329" s="115"/>
      <c r="X329" s="115"/>
      <c r="Y329" s="115"/>
      <c r="Z329" s="25"/>
      <c r="AA329" s="13"/>
      <c r="AF329" s="117"/>
      <c r="AG329" s="123"/>
      <c r="AH329" s="123"/>
      <c r="AI329" s="123"/>
      <c r="AN329" s="115"/>
      <c r="AO329" s="115"/>
      <c r="AP329" s="115"/>
      <c r="AQ329" s="115"/>
      <c r="AR329" s="115"/>
      <c r="AS329" s="115"/>
      <c r="AT329" s="115"/>
      <c r="AU329" s="115"/>
      <c r="AV329" s="115"/>
      <c r="AW329" s="115"/>
      <c r="AX329" s="13"/>
      <c r="AY329" s="13"/>
      <c r="BB329" s="114"/>
    </row>
    <row r="330" spans="1:54" ht="19.5" x14ac:dyDescent="0.4">
      <c r="A330" s="117"/>
      <c r="B330" s="123"/>
      <c r="C330" s="123"/>
      <c r="D330" s="123"/>
      <c r="F330" s="115"/>
      <c r="G330" s="115"/>
      <c r="H330" s="115"/>
      <c r="I330" s="115"/>
      <c r="J330" s="115"/>
      <c r="K330" s="115"/>
      <c r="L330" s="115"/>
      <c r="M330" s="115"/>
      <c r="N330" s="115"/>
      <c r="O330" s="26"/>
      <c r="P330" s="15"/>
      <c r="Q330" s="115"/>
      <c r="R330" s="115"/>
      <c r="S330" s="115"/>
      <c r="T330" s="115"/>
      <c r="U330" s="115"/>
      <c r="V330" s="115"/>
      <c r="W330" s="115"/>
      <c r="X330" s="115"/>
      <c r="Y330" s="115"/>
      <c r="Z330" s="25">
        <v>45684</v>
      </c>
      <c r="AA330" s="13" t="s">
        <v>147</v>
      </c>
      <c r="AF330" s="117"/>
      <c r="AG330" s="123"/>
      <c r="AH330" s="123"/>
      <c r="AI330" s="123"/>
      <c r="AN330" s="115"/>
      <c r="AO330" s="115"/>
      <c r="AP330" s="115"/>
      <c r="AQ330" s="115"/>
      <c r="AR330" s="115"/>
      <c r="AS330" s="115"/>
      <c r="AT330" s="115"/>
      <c r="AU330" s="115"/>
      <c r="AV330" s="115"/>
      <c r="AW330" s="115"/>
      <c r="AX330" s="13"/>
      <c r="AY330" s="13"/>
      <c r="BB330" s="114"/>
    </row>
    <row r="331" spans="1:54" ht="19.5" x14ac:dyDescent="0.4">
      <c r="A331" s="117"/>
      <c r="B331" s="123"/>
      <c r="C331" s="123"/>
      <c r="D331" s="123"/>
      <c r="F331" s="115"/>
      <c r="G331" s="115"/>
      <c r="H331" s="115"/>
      <c r="I331" s="115"/>
      <c r="J331" s="115"/>
      <c r="K331" s="115"/>
      <c r="L331" s="115"/>
      <c r="M331" s="115"/>
      <c r="N331" s="115"/>
      <c r="O331" s="26"/>
      <c r="P331" s="15"/>
      <c r="Q331" s="115"/>
      <c r="R331" s="115"/>
      <c r="S331" s="115"/>
      <c r="T331" s="115"/>
      <c r="U331" s="115"/>
      <c r="V331" s="115"/>
      <c r="W331" s="115"/>
      <c r="X331" s="115"/>
      <c r="Y331" s="115"/>
      <c r="Z331" s="25">
        <v>45684</v>
      </c>
      <c r="AA331" s="13" t="s">
        <v>146</v>
      </c>
      <c r="AF331" s="117"/>
      <c r="AG331" s="123"/>
      <c r="AH331" s="123"/>
      <c r="AI331" s="123"/>
      <c r="AN331" s="115"/>
      <c r="AO331" s="115"/>
      <c r="AP331" s="115"/>
      <c r="AQ331" s="115"/>
      <c r="AR331" s="115"/>
      <c r="AS331" s="115"/>
      <c r="AT331" s="115"/>
      <c r="AU331" s="115"/>
      <c r="AV331" s="115"/>
      <c r="AW331" s="115"/>
      <c r="AX331" s="13"/>
      <c r="AY331" s="13"/>
      <c r="BB331" s="114"/>
    </row>
    <row r="332" spans="1:54" ht="19.5" x14ac:dyDescent="0.4">
      <c r="A332" s="117"/>
      <c r="B332" s="123"/>
      <c r="C332" s="123"/>
      <c r="D332" s="123"/>
      <c r="F332" s="115"/>
      <c r="G332" s="115"/>
      <c r="H332" s="115"/>
      <c r="I332" s="115"/>
      <c r="J332" s="115"/>
      <c r="K332" s="115"/>
      <c r="L332" s="115"/>
      <c r="M332" s="115"/>
      <c r="N332" s="115"/>
      <c r="O332" s="26"/>
      <c r="P332" s="15"/>
      <c r="Q332" s="115"/>
      <c r="R332" s="115"/>
      <c r="S332" s="115"/>
      <c r="T332" s="115"/>
      <c r="U332" s="115"/>
      <c r="V332" s="115"/>
      <c r="W332" s="115"/>
      <c r="X332" s="115"/>
      <c r="Y332" s="115"/>
      <c r="Z332" s="25">
        <v>45684</v>
      </c>
      <c r="AA332" s="13" t="s">
        <v>146</v>
      </c>
      <c r="AF332" s="117"/>
      <c r="AG332" s="123"/>
      <c r="AH332" s="123"/>
      <c r="AI332" s="123"/>
      <c r="AN332" s="115"/>
      <c r="AO332" s="115"/>
      <c r="AP332" s="115"/>
      <c r="AQ332" s="115"/>
      <c r="AR332" s="115"/>
      <c r="AS332" s="115"/>
      <c r="AT332" s="115"/>
      <c r="AU332" s="115"/>
      <c r="AV332" s="115"/>
      <c r="AW332" s="115"/>
      <c r="AX332" s="13"/>
      <c r="AY332" s="13"/>
      <c r="BB332" s="114"/>
    </row>
    <row r="333" spans="1:54" ht="19.5" x14ac:dyDescent="0.4">
      <c r="A333" s="117"/>
      <c r="B333" s="123"/>
      <c r="C333" s="123"/>
      <c r="D333" s="123"/>
      <c r="F333" s="115"/>
      <c r="G333" s="115"/>
      <c r="H333" s="115"/>
      <c r="I333" s="115"/>
      <c r="J333" s="115"/>
      <c r="K333" s="115"/>
      <c r="L333" s="115"/>
      <c r="M333" s="115"/>
      <c r="N333" s="115"/>
      <c r="O333" s="20"/>
      <c r="P333" s="15"/>
      <c r="Q333" s="115"/>
      <c r="R333" s="115"/>
      <c r="S333" s="115"/>
      <c r="T333" s="115"/>
      <c r="U333" s="115"/>
      <c r="V333" s="115"/>
      <c r="W333" s="115"/>
      <c r="X333" s="115"/>
      <c r="Y333" s="115"/>
      <c r="Z333" s="25"/>
      <c r="AA333" s="13"/>
      <c r="AF333" s="117"/>
      <c r="AG333" s="123"/>
      <c r="AH333" s="123"/>
      <c r="AI333" s="123"/>
      <c r="AN333" s="115"/>
      <c r="AO333" s="115"/>
      <c r="AP333" s="115"/>
      <c r="AQ333" s="115"/>
      <c r="AR333" s="115"/>
      <c r="AS333" s="115"/>
      <c r="AT333" s="115"/>
      <c r="AU333" s="115"/>
      <c r="AV333" s="115"/>
      <c r="AW333" s="115"/>
      <c r="AX333" s="13"/>
      <c r="AY333" s="13"/>
      <c r="BB333" s="114"/>
    </row>
    <row r="334" spans="1:54" ht="19.5" x14ac:dyDescent="0.4">
      <c r="A334" s="117"/>
      <c r="B334" s="123"/>
      <c r="C334" s="123"/>
      <c r="D334" s="123"/>
      <c r="F334" s="115"/>
      <c r="G334" s="115"/>
      <c r="H334" s="115"/>
      <c r="I334" s="115"/>
      <c r="J334" s="115"/>
      <c r="K334" s="115"/>
      <c r="L334" s="115"/>
      <c r="M334" s="115"/>
      <c r="N334" s="115"/>
      <c r="O334" s="20"/>
      <c r="P334" s="15"/>
      <c r="Q334" s="115"/>
      <c r="R334" s="115"/>
      <c r="S334" s="115"/>
      <c r="T334" s="115"/>
      <c r="U334" s="115"/>
      <c r="V334" s="115"/>
      <c r="W334" s="115"/>
      <c r="X334" s="115"/>
      <c r="Y334" s="115"/>
      <c r="Z334" s="25"/>
      <c r="AA334" s="13"/>
      <c r="AF334" s="117"/>
      <c r="AG334" s="123"/>
      <c r="AH334" s="123"/>
      <c r="AI334" s="123"/>
      <c r="AN334" s="115"/>
      <c r="AO334" s="115"/>
      <c r="AP334" s="115"/>
      <c r="AQ334" s="115"/>
      <c r="AR334" s="115"/>
      <c r="AS334" s="115"/>
      <c r="AT334" s="115"/>
      <c r="AU334" s="115"/>
      <c r="AV334" s="115"/>
      <c r="AW334" s="115"/>
      <c r="AX334" s="13"/>
      <c r="AY334" s="13"/>
      <c r="BB334" s="114"/>
    </row>
    <row r="335" spans="1:54" ht="19.5" x14ac:dyDescent="0.4">
      <c r="A335" s="117"/>
      <c r="B335" s="123"/>
      <c r="C335" s="123"/>
      <c r="D335" s="123"/>
      <c r="F335" s="115"/>
      <c r="G335" s="115"/>
      <c r="H335" s="115"/>
      <c r="I335" s="115"/>
      <c r="J335" s="115"/>
      <c r="K335" s="115"/>
      <c r="L335" s="115"/>
      <c r="M335" s="115"/>
      <c r="N335" s="115"/>
      <c r="O335" s="25"/>
      <c r="P335" s="15"/>
      <c r="Q335" s="115"/>
      <c r="R335" s="115"/>
      <c r="S335" s="115"/>
      <c r="T335" s="115"/>
      <c r="U335" s="115"/>
      <c r="V335" s="115"/>
      <c r="W335" s="115"/>
      <c r="X335" s="115"/>
      <c r="Y335" s="115"/>
      <c r="Z335" s="25">
        <v>45684</v>
      </c>
      <c r="AA335" s="13" t="s">
        <v>147</v>
      </c>
      <c r="AF335" s="117"/>
      <c r="AG335" s="123"/>
      <c r="AH335" s="123"/>
      <c r="AI335" s="123"/>
      <c r="AN335" s="115"/>
      <c r="AO335" s="115"/>
      <c r="AP335" s="115"/>
      <c r="AQ335" s="115"/>
      <c r="AR335" s="115"/>
      <c r="AS335" s="115"/>
      <c r="AT335" s="115"/>
      <c r="AU335" s="115"/>
      <c r="AV335" s="115"/>
      <c r="AW335" s="115"/>
      <c r="AX335" s="13"/>
      <c r="AY335" s="13"/>
      <c r="BB335" s="114"/>
    </row>
    <row r="336" spans="1:54" ht="19.5" x14ac:dyDescent="0.4">
      <c r="A336" s="117"/>
      <c r="B336" s="123"/>
      <c r="C336" s="123"/>
      <c r="D336" s="123"/>
      <c r="O336" s="25"/>
      <c r="P336" s="15"/>
      <c r="Z336" s="25">
        <v>45685</v>
      </c>
      <c r="AA336" s="13" t="s">
        <v>146</v>
      </c>
      <c r="AF336" s="117"/>
      <c r="AG336" s="123"/>
      <c r="AH336" s="123"/>
      <c r="AI336" s="123"/>
      <c r="AN336" s="115"/>
      <c r="AO336" s="115"/>
      <c r="AP336" s="115"/>
      <c r="AQ336" s="115"/>
      <c r="AR336" s="115"/>
      <c r="AS336" s="115"/>
      <c r="AT336" s="115"/>
      <c r="AU336" s="115"/>
      <c r="AV336" s="115"/>
      <c r="AW336" s="115"/>
      <c r="AX336" s="25">
        <v>45263</v>
      </c>
      <c r="AY336" s="13" t="s">
        <v>162</v>
      </c>
      <c r="BB336" s="114"/>
    </row>
    <row r="337" spans="1:54" ht="19.5" x14ac:dyDescent="0.4">
      <c r="A337" s="117"/>
      <c r="B337" s="123"/>
      <c r="C337" s="123"/>
      <c r="D337" s="123"/>
      <c r="O337" s="25"/>
      <c r="P337" s="15"/>
      <c r="W337" s="115"/>
      <c r="X337" s="115"/>
      <c r="Y337" s="115"/>
      <c r="Z337" s="25">
        <v>45685</v>
      </c>
      <c r="AA337" s="13" t="s">
        <v>147</v>
      </c>
      <c r="AF337" s="117"/>
      <c r="AG337" s="123"/>
      <c r="AH337" s="123"/>
      <c r="AI337" s="123"/>
      <c r="AN337" s="115"/>
      <c r="AO337" s="115"/>
      <c r="AP337" s="115"/>
      <c r="AQ337" s="115"/>
      <c r="AR337" s="115"/>
      <c r="AS337" s="115"/>
      <c r="AT337" s="115"/>
      <c r="AU337" s="115"/>
      <c r="AV337" s="115"/>
      <c r="AW337" s="115"/>
      <c r="AX337" s="25"/>
      <c r="AY337" s="13"/>
      <c r="BB337" s="114"/>
    </row>
    <row r="338" spans="1:54" ht="19.5" x14ac:dyDescent="0.4">
      <c r="A338" s="117"/>
      <c r="B338" s="123"/>
      <c r="C338" s="123"/>
      <c r="D338" s="123"/>
      <c r="O338" s="133"/>
      <c r="P338" s="15"/>
      <c r="W338" s="115"/>
      <c r="X338" s="115"/>
      <c r="Y338" s="115"/>
      <c r="Z338" s="25"/>
      <c r="AA338" s="13"/>
      <c r="AF338" s="117"/>
      <c r="AG338" s="123"/>
      <c r="AH338" s="123"/>
      <c r="AI338" s="123"/>
      <c r="AN338" s="115"/>
      <c r="AO338" s="115"/>
      <c r="AP338" s="115"/>
      <c r="AQ338" s="115"/>
      <c r="AR338" s="115"/>
      <c r="AS338" s="115"/>
      <c r="AT338" s="115"/>
      <c r="AU338" s="115"/>
      <c r="AV338" s="115"/>
      <c r="AW338" s="115"/>
      <c r="AX338" s="25"/>
      <c r="AY338" s="13"/>
      <c r="BB338" s="114"/>
    </row>
    <row r="339" spans="1:54" ht="19.5" x14ac:dyDescent="0.4">
      <c r="A339" s="117"/>
      <c r="B339" s="123"/>
      <c r="C339" s="123"/>
      <c r="D339" s="123"/>
      <c r="O339" s="25"/>
      <c r="P339" s="15"/>
      <c r="Q339" s="115"/>
      <c r="R339" s="115"/>
      <c r="S339" s="115"/>
      <c r="T339" s="115"/>
      <c r="U339" s="115"/>
      <c r="V339" s="115"/>
      <c r="W339" s="115"/>
      <c r="X339" s="115"/>
      <c r="Y339" s="115"/>
      <c r="Z339" s="25">
        <v>45685</v>
      </c>
      <c r="AA339" s="13" t="s">
        <v>147</v>
      </c>
      <c r="AF339" s="117"/>
      <c r="AG339" s="123"/>
      <c r="AH339" s="123"/>
      <c r="AI339" s="123"/>
      <c r="AN339" s="115"/>
      <c r="AO339" s="115"/>
      <c r="AP339" s="115"/>
      <c r="AQ339" s="115"/>
      <c r="AR339" s="115"/>
      <c r="AS339" s="115"/>
      <c r="AT339" s="115"/>
      <c r="AU339" s="115"/>
      <c r="AV339" s="115"/>
      <c r="AW339" s="115"/>
      <c r="AX339" s="25"/>
      <c r="AY339" s="13"/>
      <c r="BB339" s="114"/>
    </row>
    <row r="340" spans="1:54" ht="19.5" x14ac:dyDescent="0.4">
      <c r="A340" s="117"/>
      <c r="B340" s="123"/>
      <c r="C340" s="123"/>
      <c r="D340" s="123"/>
      <c r="O340" s="25"/>
      <c r="P340" s="15"/>
      <c r="Q340" s="115"/>
      <c r="R340" s="115"/>
      <c r="S340" s="115"/>
      <c r="T340" s="115"/>
      <c r="U340" s="115"/>
      <c r="V340" s="115"/>
      <c r="W340" s="115"/>
      <c r="X340" s="115"/>
      <c r="Y340" s="115"/>
      <c r="Z340" s="25">
        <v>45685</v>
      </c>
      <c r="AA340" s="13" t="s">
        <v>148</v>
      </c>
      <c r="AF340" s="117"/>
      <c r="AG340" s="123"/>
      <c r="AH340" s="123"/>
      <c r="AI340" s="123"/>
      <c r="AN340" s="115"/>
      <c r="AO340" s="115"/>
      <c r="AP340" s="115"/>
      <c r="AQ340" s="115"/>
      <c r="AR340" s="115"/>
      <c r="AS340" s="115"/>
      <c r="AT340" s="115"/>
      <c r="AU340" s="115"/>
      <c r="AV340" s="115"/>
      <c r="AW340" s="115"/>
      <c r="AX340" s="25"/>
      <c r="AY340" s="13"/>
      <c r="BB340" s="114"/>
    </row>
    <row r="341" spans="1:54" ht="19.5" x14ac:dyDescent="0.4">
      <c r="A341" s="117"/>
      <c r="B341" s="123"/>
      <c r="C341" s="123"/>
      <c r="D341" s="123"/>
      <c r="O341" s="25"/>
      <c r="P341" s="15"/>
      <c r="Q341" s="115"/>
      <c r="R341" s="115"/>
      <c r="S341" s="115"/>
      <c r="T341" s="115"/>
      <c r="U341" s="115"/>
      <c r="V341" s="115"/>
      <c r="W341" s="115"/>
      <c r="X341" s="115"/>
      <c r="Y341" s="115"/>
      <c r="Z341" s="25">
        <v>45685</v>
      </c>
      <c r="AA341" s="13" t="s">
        <v>148</v>
      </c>
      <c r="AF341" s="117"/>
      <c r="AG341" s="123"/>
      <c r="AH341" s="123"/>
      <c r="AI341" s="123"/>
      <c r="AN341" s="115"/>
      <c r="AO341" s="115"/>
      <c r="AP341" s="115"/>
      <c r="AQ341" s="115"/>
      <c r="AR341" s="115"/>
      <c r="AS341" s="115"/>
      <c r="AT341" s="115"/>
      <c r="AU341" s="115"/>
      <c r="AV341" s="115"/>
      <c r="AW341" s="115"/>
      <c r="AX341" s="25"/>
      <c r="AY341" s="13"/>
      <c r="BB341" s="114"/>
    </row>
    <row r="342" spans="1:54" ht="19.5" x14ac:dyDescent="0.4">
      <c r="A342" s="117"/>
      <c r="B342" s="123"/>
      <c r="C342" s="123"/>
      <c r="D342" s="123"/>
      <c r="O342" s="133"/>
      <c r="P342" s="15"/>
      <c r="Q342" s="115"/>
      <c r="R342" s="115"/>
      <c r="S342" s="115"/>
      <c r="T342" s="115"/>
      <c r="U342" s="115"/>
      <c r="V342" s="115"/>
      <c r="W342" s="115"/>
      <c r="X342" s="115"/>
      <c r="Y342" s="115"/>
      <c r="Z342" s="25"/>
      <c r="AA342" s="13"/>
      <c r="AF342" s="117"/>
      <c r="AG342" s="123"/>
      <c r="AH342" s="123"/>
      <c r="AI342" s="123"/>
      <c r="AN342" s="115"/>
      <c r="AO342" s="115"/>
      <c r="AP342" s="115"/>
      <c r="AQ342" s="115"/>
      <c r="AR342" s="115"/>
      <c r="AS342" s="115"/>
      <c r="AT342" s="115"/>
      <c r="AU342" s="115"/>
      <c r="AV342" s="115"/>
      <c r="AW342" s="115"/>
      <c r="AX342" s="25"/>
      <c r="AY342" s="13"/>
      <c r="BB342" s="114"/>
    </row>
    <row r="343" spans="1:54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115"/>
      <c r="O343" s="25"/>
      <c r="P343" s="15"/>
      <c r="Q343" s="115"/>
      <c r="R343" s="115"/>
      <c r="S343" s="115"/>
      <c r="T343" s="115"/>
      <c r="U343" s="115"/>
      <c r="V343" s="115"/>
      <c r="W343" s="115"/>
      <c r="X343" s="115"/>
      <c r="Y343" s="115"/>
      <c r="Z343" s="25"/>
      <c r="AA343" s="13"/>
      <c r="AF343" s="117"/>
      <c r="AG343" s="123"/>
      <c r="AH343" s="123"/>
      <c r="AI343" s="123"/>
      <c r="AN343" s="115"/>
      <c r="AO343" s="115"/>
      <c r="AP343" s="115"/>
      <c r="AQ343" s="115"/>
      <c r="AR343" s="115"/>
      <c r="AS343" s="115"/>
      <c r="AT343" s="115"/>
      <c r="AU343" s="115"/>
      <c r="AV343" s="115"/>
      <c r="AW343" s="115"/>
      <c r="AX343" s="25"/>
      <c r="AY343" s="13"/>
      <c r="BB343" s="114"/>
    </row>
    <row r="344" spans="1:54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15"/>
      <c r="O344" s="133"/>
      <c r="P344" s="15"/>
      <c r="Q344" s="115"/>
      <c r="R344" s="115"/>
      <c r="S344" s="115"/>
      <c r="T344" s="115"/>
      <c r="U344" s="115"/>
      <c r="V344" s="115"/>
      <c r="W344" s="115"/>
      <c r="X344" s="115"/>
      <c r="Y344" s="115"/>
      <c r="Z344" s="25"/>
      <c r="AA344" s="13"/>
      <c r="AF344" s="117"/>
      <c r="AG344" s="123"/>
      <c r="AH344" s="123"/>
      <c r="AI344" s="123"/>
      <c r="AN344" s="115"/>
      <c r="AO344" s="115"/>
      <c r="AP344" s="115"/>
      <c r="AQ344" s="115"/>
      <c r="AR344" s="115"/>
      <c r="AS344" s="115"/>
      <c r="AT344" s="115"/>
      <c r="AU344" s="115"/>
      <c r="AV344" s="115"/>
      <c r="AW344" s="115"/>
      <c r="AX344" s="25"/>
      <c r="AY344" s="13"/>
      <c r="BB344" s="114"/>
    </row>
    <row r="345" spans="1:54" ht="19.5" x14ac:dyDescent="0.4">
      <c r="A345" s="117"/>
      <c r="B345" s="123"/>
      <c r="C345" s="123"/>
      <c r="D345" s="123"/>
      <c r="O345" s="25"/>
      <c r="P345" s="15"/>
      <c r="Q345" s="115"/>
      <c r="R345" s="115"/>
      <c r="S345" s="115"/>
      <c r="T345" s="115"/>
      <c r="U345" s="115"/>
      <c r="V345" s="115"/>
      <c r="W345" s="115"/>
      <c r="X345" s="115"/>
      <c r="Y345" s="115"/>
      <c r="Z345" s="25">
        <v>45685</v>
      </c>
      <c r="AA345" s="13" t="s">
        <v>148</v>
      </c>
      <c r="AF345" s="117"/>
      <c r="AG345" s="123"/>
      <c r="AH345" s="123"/>
      <c r="AI345" s="123"/>
      <c r="AN345" s="115"/>
      <c r="AO345" s="115"/>
      <c r="AP345" s="115"/>
      <c r="AQ345" s="115"/>
      <c r="AR345" s="115"/>
      <c r="AS345" s="115"/>
      <c r="AT345" s="115"/>
      <c r="AU345" s="115"/>
      <c r="AV345" s="115"/>
      <c r="AW345" s="115"/>
      <c r="AX345" s="25"/>
      <c r="AY345" s="13"/>
      <c r="BB345" s="114"/>
    </row>
    <row r="346" spans="1:54" ht="19.5" x14ac:dyDescent="0.4">
      <c r="A346" s="117"/>
      <c r="B346" s="123"/>
      <c r="C346" s="123"/>
      <c r="D346" s="123"/>
      <c r="O346" s="25"/>
      <c r="P346" s="15"/>
      <c r="Q346" s="115"/>
      <c r="R346" s="115"/>
      <c r="S346" s="115"/>
      <c r="T346" s="115"/>
      <c r="U346" s="115"/>
      <c r="V346" s="115"/>
      <c r="W346" s="115"/>
      <c r="X346" s="115"/>
      <c r="Y346" s="115"/>
      <c r="Z346" s="25">
        <v>45685</v>
      </c>
      <c r="AA346" s="13" t="s">
        <v>148</v>
      </c>
      <c r="AF346" s="117"/>
      <c r="AG346" s="123"/>
      <c r="AH346" s="123"/>
      <c r="AI346" s="123"/>
      <c r="AN346" s="115"/>
      <c r="AO346" s="115"/>
      <c r="AP346" s="115"/>
      <c r="AQ346" s="115"/>
      <c r="AR346" s="115"/>
      <c r="AS346" s="115"/>
      <c r="AT346" s="115"/>
      <c r="AU346" s="115"/>
      <c r="AV346" s="115"/>
      <c r="AW346" s="115"/>
      <c r="AX346" s="25"/>
      <c r="AY346" s="13"/>
      <c r="BB346" s="114"/>
    </row>
    <row r="347" spans="1:54" ht="19.5" x14ac:dyDescent="0.4">
      <c r="A347" s="117"/>
      <c r="B347" s="123"/>
      <c r="C347" s="123"/>
      <c r="D347" s="123"/>
      <c r="O347" s="25"/>
      <c r="P347" s="15"/>
      <c r="Q347" s="115"/>
      <c r="R347" s="115"/>
      <c r="S347" s="115"/>
      <c r="T347" s="115"/>
      <c r="U347" s="115"/>
      <c r="V347" s="115"/>
      <c r="W347" s="115"/>
      <c r="X347" s="115"/>
      <c r="Y347" s="115"/>
      <c r="Z347" s="25">
        <v>45685</v>
      </c>
      <c r="AA347" s="13" t="s">
        <v>146</v>
      </c>
      <c r="AF347" s="117"/>
      <c r="AG347" s="123"/>
      <c r="AH347" s="123"/>
      <c r="AI347" s="123"/>
      <c r="AN347" s="115"/>
      <c r="AO347" s="115"/>
      <c r="AP347" s="115"/>
      <c r="AQ347" s="115"/>
      <c r="AR347" s="115"/>
      <c r="AS347" s="115"/>
      <c r="AT347" s="115"/>
      <c r="AU347" s="115"/>
      <c r="AV347" s="115"/>
      <c r="AW347" s="115"/>
      <c r="AX347" s="25"/>
      <c r="AY347" s="13"/>
      <c r="BB347" s="114"/>
    </row>
    <row r="348" spans="1:54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15"/>
      <c r="O348" s="25"/>
      <c r="P348" s="15"/>
      <c r="Q348" s="115"/>
      <c r="R348" s="115"/>
      <c r="S348" s="115"/>
      <c r="T348" s="115"/>
      <c r="U348" s="115"/>
      <c r="V348" s="115"/>
      <c r="W348" s="115"/>
      <c r="X348" s="115"/>
      <c r="Y348" s="115"/>
      <c r="Z348" s="25"/>
      <c r="AA348" s="13"/>
      <c r="AF348" s="117"/>
      <c r="AG348" s="123"/>
      <c r="AH348" s="123"/>
      <c r="AI348" s="123"/>
      <c r="AN348" s="115"/>
      <c r="AO348" s="115"/>
      <c r="AP348" s="115"/>
      <c r="AQ348" s="115"/>
      <c r="AR348" s="115"/>
      <c r="AS348" s="115"/>
      <c r="AT348" s="115"/>
      <c r="AU348" s="115"/>
      <c r="AV348" s="115"/>
      <c r="AW348" s="115"/>
      <c r="AX348" s="25"/>
      <c r="AY348" s="13"/>
      <c r="BB348" s="114"/>
    </row>
    <row r="349" spans="1:54" ht="19.5" x14ac:dyDescent="0.4">
      <c r="A349" s="117"/>
      <c r="B349" s="123"/>
      <c r="C349" s="123"/>
      <c r="D349" s="123"/>
      <c r="O349" s="25"/>
      <c r="P349" s="15"/>
      <c r="Z349" s="25">
        <v>45685</v>
      </c>
      <c r="AA349" s="13" t="s">
        <v>148</v>
      </c>
      <c r="AF349" s="117"/>
      <c r="AG349" s="123"/>
      <c r="AH349" s="123"/>
      <c r="AI349" s="123"/>
      <c r="AN349" s="115"/>
      <c r="AO349" s="115"/>
      <c r="AP349" s="115"/>
      <c r="AQ349" s="115"/>
      <c r="AR349" s="115"/>
      <c r="AS349" s="115"/>
      <c r="AT349" s="115"/>
      <c r="AU349" s="115"/>
      <c r="AV349" s="115"/>
      <c r="AW349" s="115" t="s">
        <v>150</v>
      </c>
      <c r="AX349" s="13">
        <f>SUBTOTAL(3,AX336:AX336)</f>
        <v>1</v>
      </c>
      <c r="AY349" s="13">
        <f>SUBTOTAL(3,AY336:AY336)</f>
        <v>1</v>
      </c>
      <c r="BB349" s="114"/>
    </row>
    <row r="350" spans="1:54" ht="19.5" x14ac:dyDescent="0.4">
      <c r="A350" s="117"/>
      <c r="B350" s="123"/>
      <c r="C350" s="123"/>
      <c r="D350" s="123"/>
      <c r="G350" s="115"/>
      <c r="H350" s="115"/>
      <c r="I350" s="115"/>
      <c r="J350" s="115"/>
      <c r="K350" s="115"/>
      <c r="L350" s="115"/>
      <c r="M350" s="115"/>
      <c r="N350" s="115"/>
      <c r="O350" s="25"/>
      <c r="P350" s="15"/>
      <c r="Z350" s="25"/>
      <c r="AA350" s="13"/>
      <c r="AF350" s="117"/>
      <c r="AG350" s="123"/>
      <c r="AH350" s="123"/>
      <c r="AI350" s="123"/>
      <c r="AN350" s="115"/>
      <c r="AO350" s="115"/>
      <c r="AP350" s="115"/>
      <c r="AQ350" s="115"/>
      <c r="AR350" s="115"/>
      <c r="AS350" s="115"/>
      <c r="AT350" s="115"/>
      <c r="AU350" s="115"/>
      <c r="AV350" s="115"/>
      <c r="AW350" s="115"/>
      <c r="AX350" s="13"/>
      <c r="AY350" s="13"/>
      <c r="BB350" s="114"/>
    </row>
    <row r="351" spans="1:54" ht="19.5" x14ac:dyDescent="0.4">
      <c r="A351" s="117"/>
      <c r="B351" s="123"/>
      <c r="C351" s="123"/>
      <c r="D351" s="123"/>
      <c r="O351" s="25"/>
      <c r="P351" s="15"/>
      <c r="Q351" s="115"/>
      <c r="R351" s="115"/>
      <c r="S351" s="115"/>
      <c r="T351" s="115"/>
      <c r="U351" s="115"/>
      <c r="V351" s="115"/>
      <c r="W351" s="115"/>
      <c r="X351" s="115"/>
      <c r="Y351" s="115"/>
      <c r="Z351" s="25">
        <v>45685</v>
      </c>
      <c r="AA351" s="15" t="s">
        <v>146</v>
      </c>
      <c r="AF351" s="117"/>
      <c r="AG351" s="123"/>
      <c r="AH351" s="123"/>
      <c r="AI351" s="123"/>
      <c r="AN351" s="115"/>
      <c r="AO351" s="115"/>
      <c r="AP351" s="115"/>
      <c r="AQ351" s="115"/>
      <c r="AR351" s="115"/>
      <c r="AS351" s="115"/>
      <c r="AT351" s="115"/>
      <c r="AU351" s="115"/>
      <c r="AV351" s="115"/>
      <c r="AW351" s="115"/>
      <c r="AX351" s="13"/>
      <c r="AY351" s="13"/>
      <c r="BB351" s="114"/>
    </row>
    <row r="352" spans="1:54" ht="19.5" x14ac:dyDescent="0.4">
      <c r="A352" s="117"/>
      <c r="B352" s="123"/>
      <c r="C352" s="123"/>
      <c r="D352" s="123"/>
      <c r="O352" s="25"/>
      <c r="P352" s="15"/>
      <c r="Z352" s="25">
        <v>45685</v>
      </c>
      <c r="AA352" s="15" t="s">
        <v>146</v>
      </c>
      <c r="AF352" s="117"/>
      <c r="AG352" s="123"/>
      <c r="AH352" s="123"/>
      <c r="AI352" s="123"/>
      <c r="AN352" s="115"/>
      <c r="AO352" s="115"/>
      <c r="AP352" s="115"/>
      <c r="AQ352" s="115"/>
      <c r="AR352" s="115"/>
      <c r="AS352" s="115"/>
      <c r="AT352" s="115"/>
      <c r="AU352" s="115"/>
      <c r="AV352" s="115"/>
      <c r="AW352" s="115"/>
      <c r="AX352" s="25">
        <v>45264</v>
      </c>
      <c r="AY352" s="13" t="s">
        <v>162</v>
      </c>
      <c r="BB352" s="114"/>
    </row>
    <row r="353" spans="1:54" ht="19.5" x14ac:dyDescent="0.4">
      <c r="A353" s="117"/>
      <c r="B353" s="123"/>
      <c r="C353" s="123"/>
      <c r="D353" s="123"/>
      <c r="O353" s="25"/>
      <c r="P353" s="15"/>
      <c r="V353" s="115"/>
      <c r="W353" s="115"/>
      <c r="X353" s="115"/>
      <c r="Y353" s="115"/>
      <c r="Z353" s="25">
        <v>45686</v>
      </c>
      <c r="AA353" s="15" t="s">
        <v>148</v>
      </c>
      <c r="AF353" s="117"/>
      <c r="AG353" s="123"/>
      <c r="AH353" s="123"/>
      <c r="AI353" s="123"/>
      <c r="AN353" s="115"/>
      <c r="AO353" s="115"/>
      <c r="AP353" s="115"/>
      <c r="AQ353" s="115"/>
      <c r="AR353" s="115"/>
      <c r="AS353" s="115"/>
      <c r="AT353" s="115"/>
      <c r="AU353" s="115"/>
      <c r="AV353" s="115"/>
      <c r="AW353" s="115"/>
      <c r="AX353" s="25"/>
      <c r="AY353" s="13"/>
      <c r="BB353" s="114"/>
    </row>
    <row r="354" spans="1:54" ht="19.5" x14ac:dyDescent="0.4">
      <c r="A354" s="117"/>
      <c r="B354" s="123"/>
      <c r="C354" s="123"/>
      <c r="D354" s="123"/>
      <c r="O354" s="25"/>
      <c r="P354" s="15"/>
      <c r="T354" s="115"/>
      <c r="U354" s="115"/>
      <c r="V354" s="115"/>
      <c r="W354" s="115"/>
      <c r="X354" s="115"/>
      <c r="Y354" s="115"/>
      <c r="Z354" s="25">
        <v>45686</v>
      </c>
      <c r="AA354" s="15" t="s">
        <v>146</v>
      </c>
      <c r="AF354" s="117"/>
      <c r="AG354" s="123"/>
      <c r="AH354" s="123"/>
      <c r="AI354" s="123"/>
      <c r="AN354" s="115"/>
      <c r="AO354" s="115"/>
      <c r="AP354" s="115"/>
      <c r="AQ354" s="115"/>
      <c r="AR354" s="115"/>
      <c r="AS354" s="115"/>
      <c r="AT354" s="115"/>
      <c r="AU354" s="115"/>
      <c r="AV354" s="115"/>
      <c r="AW354" s="115"/>
      <c r="AX354" s="25"/>
      <c r="AY354" s="13"/>
      <c r="BB354" s="114"/>
    </row>
    <row r="355" spans="1:54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115"/>
      <c r="O355" s="25"/>
      <c r="P355" s="15"/>
      <c r="T355" s="115"/>
      <c r="U355" s="115"/>
      <c r="V355" s="115"/>
      <c r="W355" s="115"/>
      <c r="X355" s="115"/>
      <c r="Y355" s="115"/>
      <c r="Z355" s="25"/>
      <c r="AA355" s="15"/>
      <c r="AF355" s="117"/>
      <c r="AG355" s="123"/>
      <c r="AH355" s="123"/>
      <c r="AI355" s="123"/>
      <c r="AN355" s="115"/>
      <c r="AO355" s="115"/>
      <c r="AP355" s="115"/>
      <c r="AQ355" s="115"/>
      <c r="AR355" s="115"/>
      <c r="AS355" s="115"/>
      <c r="AT355" s="115"/>
      <c r="AU355" s="115"/>
      <c r="AV355" s="115"/>
      <c r="AW355" s="115"/>
      <c r="AX355" s="25"/>
      <c r="AY355" s="13"/>
      <c r="BB355" s="114"/>
    </row>
    <row r="356" spans="1:54" ht="19.5" x14ac:dyDescent="0.4">
      <c r="A356" s="117"/>
      <c r="B356" s="123"/>
      <c r="C356" s="123"/>
      <c r="D356" s="123"/>
      <c r="O356" s="26"/>
      <c r="P356" s="15"/>
      <c r="T356" s="115"/>
      <c r="U356" s="115"/>
      <c r="V356" s="115"/>
      <c r="W356" s="115"/>
      <c r="X356" s="115"/>
      <c r="Y356" s="115"/>
      <c r="Z356" s="25">
        <v>45686</v>
      </c>
      <c r="AA356" s="15" t="s">
        <v>148</v>
      </c>
      <c r="AF356" s="117"/>
      <c r="AG356" s="123"/>
      <c r="AH356" s="123"/>
      <c r="AI356" s="123"/>
      <c r="AN356" s="115"/>
      <c r="AO356" s="115"/>
      <c r="AP356" s="115"/>
      <c r="AQ356" s="115"/>
      <c r="AR356" s="115"/>
      <c r="AS356" s="115"/>
      <c r="AT356" s="115"/>
      <c r="AU356" s="115"/>
      <c r="AV356" s="115"/>
      <c r="AW356" s="115"/>
      <c r="AX356" s="25"/>
      <c r="AY356" s="13"/>
      <c r="BB356" s="114"/>
    </row>
    <row r="357" spans="1:54" ht="19.5" x14ac:dyDescent="0.4">
      <c r="A357" s="117"/>
      <c r="B357" s="123"/>
      <c r="C357" s="123"/>
      <c r="D357" s="123"/>
      <c r="H357" s="115"/>
      <c r="I357" s="115"/>
      <c r="J357" s="115"/>
      <c r="K357" s="115"/>
      <c r="L357" s="115"/>
      <c r="M357" s="115"/>
      <c r="N357" s="115"/>
      <c r="O357" s="26"/>
      <c r="P357" s="13"/>
      <c r="T357" s="115"/>
      <c r="U357" s="115"/>
      <c r="V357" s="115"/>
      <c r="W357" s="115"/>
      <c r="X357" s="115"/>
      <c r="Y357" s="115"/>
      <c r="Z357" s="25"/>
      <c r="AA357" s="15"/>
      <c r="AF357" s="117"/>
      <c r="AG357" s="123"/>
      <c r="AH357" s="123"/>
      <c r="AI357" s="123"/>
      <c r="AN357" s="115"/>
      <c r="AO357" s="115"/>
      <c r="AP357" s="115"/>
      <c r="AQ357" s="115"/>
      <c r="AR357" s="115"/>
      <c r="AS357" s="115"/>
      <c r="AT357" s="115"/>
      <c r="AU357" s="115"/>
      <c r="AV357" s="115"/>
      <c r="AW357" s="115"/>
      <c r="AX357" s="25"/>
      <c r="AY357" s="13"/>
      <c r="BB357" s="114"/>
    </row>
    <row r="358" spans="1:54" ht="19.5" x14ac:dyDescent="0.4">
      <c r="A358" s="117"/>
      <c r="B358" s="123"/>
      <c r="C358" s="123"/>
      <c r="D358" s="123"/>
      <c r="O358" s="26"/>
      <c r="P358" s="13"/>
      <c r="Z358" s="25">
        <v>45686</v>
      </c>
      <c r="AA358" s="15" t="s">
        <v>146</v>
      </c>
      <c r="AF358" s="117"/>
      <c r="AG358" s="123"/>
      <c r="AH358" s="123"/>
      <c r="AI358" s="123"/>
      <c r="AN358" s="115"/>
      <c r="AO358" s="115"/>
      <c r="AP358" s="115"/>
      <c r="AQ358" s="115"/>
      <c r="AR358" s="115"/>
      <c r="AS358" s="115"/>
      <c r="AT358" s="115"/>
      <c r="AU358" s="115"/>
      <c r="AV358" s="115"/>
      <c r="AW358" s="115" t="s">
        <v>154</v>
      </c>
      <c r="AX358" s="13">
        <f>SUBTOTAL(3,AX352:AX352)</f>
        <v>1</v>
      </c>
      <c r="AY358" s="13">
        <f>SUBTOTAL(3,AY352:AY352)</f>
        <v>1</v>
      </c>
      <c r="BB358" s="114"/>
    </row>
    <row r="359" spans="1:54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15"/>
      <c r="O359" s="26"/>
      <c r="P359" s="13"/>
      <c r="Z359" s="25"/>
      <c r="AA359" s="15"/>
      <c r="AF359" s="117"/>
      <c r="AG359" s="123"/>
      <c r="AH359" s="123"/>
      <c r="AI359" s="123"/>
      <c r="AN359" s="115"/>
      <c r="AO359" s="115"/>
      <c r="AP359" s="115"/>
      <c r="AQ359" s="115"/>
      <c r="AR359" s="115"/>
      <c r="AS359" s="115"/>
      <c r="AT359" s="115"/>
      <c r="AU359" s="115"/>
      <c r="AV359" s="115"/>
      <c r="AW359" s="115"/>
      <c r="AX359" s="13"/>
      <c r="AY359" s="13"/>
      <c r="BB359" s="114"/>
    </row>
    <row r="360" spans="1:54" ht="19.5" x14ac:dyDescent="0.4">
      <c r="A360" s="117"/>
      <c r="B360" s="123"/>
      <c r="C360" s="123"/>
      <c r="D360" s="123"/>
      <c r="G360" s="115"/>
      <c r="H360" s="115"/>
      <c r="I360" s="115"/>
      <c r="J360" s="115"/>
      <c r="K360" s="115"/>
      <c r="L360" s="115"/>
      <c r="M360" s="115"/>
      <c r="N360" s="115"/>
      <c r="O360" s="26"/>
      <c r="P360" s="13"/>
      <c r="Z360" s="25"/>
      <c r="AA360" s="15"/>
      <c r="AF360" s="117"/>
      <c r="AG360" s="123"/>
      <c r="AH360" s="123"/>
      <c r="AI360" s="123"/>
      <c r="AN360" s="115"/>
      <c r="AO360" s="115"/>
      <c r="AP360" s="115"/>
      <c r="AQ360" s="115"/>
      <c r="AR360" s="115"/>
      <c r="AS360" s="115"/>
      <c r="AT360" s="115"/>
      <c r="AU360" s="115"/>
      <c r="AV360" s="115"/>
      <c r="AW360" s="115"/>
      <c r="AX360" s="13"/>
      <c r="AY360" s="13"/>
      <c r="BB360" s="114"/>
    </row>
    <row r="361" spans="1:54" ht="19.5" x14ac:dyDescent="0.4">
      <c r="A361" s="117"/>
      <c r="B361" s="123"/>
      <c r="C361" s="123"/>
      <c r="D361" s="123"/>
      <c r="O361" s="26"/>
      <c r="P361" s="13"/>
      <c r="Z361" s="25">
        <v>45686</v>
      </c>
      <c r="AA361" s="15" t="s">
        <v>146</v>
      </c>
      <c r="AF361" s="117"/>
      <c r="AG361" s="123"/>
      <c r="AH361" s="123"/>
      <c r="AI361" s="123"/>
      <c r="AN361" s="115"/>
      <c r="AO361" s="115"/>
      <c r="AP361" s="115"/>
      <c r="AQ361" s="115"/>
      <c r="AR361" s="115"/>
      <c r="AS361" s="115"/>
      <c r="AT361" s="115"/>
      <c r="AU361" s="115"/>
      <c r="AV361" s="115"/>
      <c r="AW361" s="115"/>
      <c r="AX361" s="25">
        <v>45265</v>
      </c>
      <c r="AY361" s="13" t="s">
        <v>162</v>
      </c>
      <c r="BB361" s="114"/>
    </row>
    <row r="362" spans="1:54" ht="19.5" x14ac:dyDescent="0.4">
      <c r="A362" s="117"/>
      <c r="B362" s="123"/>
      <c r="C362" s="123"/>
      <c r="D362" s="123"/>
      <c r="O362" s="26"/>
      <c r="P362" s="13"/>
      <c r="Z362" s="25">
        <v>45686</v>
      </c>
      <c r="AA362" s="15" t="s">
        <v>146</v>
      </c>
      <c r="AF362" s="117"/>
      <c r="AG362" s="123"/>
      <c r="AH362" s="123"/>
      <c r="AI362" s="123"/>
      <c r="AN362" s="115"/>
      <c r="AO362" s="115"/>
      <c r="AP362" s="115"/>
      <c r="AQ362" s="115"/>
      <c r="AR362" s="115"/>
      <c r="AS362" s="115"/>
      <c r="AT362" s="115"/>
      <c r="AU362" s="115"/>
      <c r="AV362" s="115"/>
      <c r="AW362" s="115"/>
      <c r="AX362" s="25">
        <v>45265</v>
      </c>
      <c r="AY362" s="25" t="s">
        <v>162</v>
      </c>
      <c r="BB362" s="114"/>
    </row>
    <row r="363" spans="1:54" ht="19.5" x14ac:dyDescent="0.4">
      <c r="A363" s="117"/>
      <c r="B363" s="123"/>
      <c r="C363" s="123"/>
      <c r="D363" s="123"/>
      <c r="O363" s="26"/>
      <c r="P363" s="13"/>
      <c r="Q363" s="115"/>
      <c r="R363" s="115"/>
      <c r="S363" s="115"/>
      <c r="T363" s="115"/>
      <c r="U363" s="115"/>
      <c r="V363" s="115"/>
      <c r="W363" s="115"/>
      <c r="X363" s="115"/>
      <c r="Y363" s="115"/>
      <c r="Z363" s="25">
        <v>45686</v>
      </c>
      <c r="AA363" s="15" t="s">
        <v>146</v>
      </c>
      <c r="AF363" s="117"/>
      <c r="AG363" s="123"/>
      <c r="AH363" s="123"/>
      <c r="AI363" s="123"/>
      <c r="AN363" s="115"/>
      <c r="AO363" s="115"/>
      <c r="AP363" s="115"/>
      <c r="AQ363" s="115"/>
      <c r="AR363" s="115"/>
      <c r="AS363" s="115"/>
      <c r="AT363" s="115"/>
      <c r="AU363" s="115"/>
      <c r="AV363" s="115"/>
      <c r="AW363" s="115"/>
      <c r="AX363" s="25"/>
      <c r="AY363" s="25"/>
      <c r="BB363" s="114"/>
    </row>
    <row r="364" spans="1:54" ht="19.5" x14ac:dyDescent="0.4">
      <c r="A364" s="117"/>
      <c r="B364" s="123"/>
      <c r="C364" s="123"/>
      <c r="D364" s="123"/>
      <c r="O364" s="129"/>
      <c r="P364" s="13"/>
      <c r="Q364" s="115"/>
      <c r="R364" s="115"/>
      <c r="S364" s="115"/>
      <c r="T364" s="115"/>
      <c r="U364" s="115"/>
      <c r="V364" s="115"/>
      <c r="W364" s="115"/>
      <c r="X364" s="115"/>
      <c r="Y364" s="115"/>
      <c r="Z364" s="25"/>
      <c r="AA364" s="13"/>
      <c r="AF364" s="117"/>
      <c r="AG364" s="123"/>
      <c r="AH364" s="123"/>
      <c r="AI364" s="123"/>
      <c r="AN364" s="115"/>
      <c r="AO364" s="115"/>
      <c r="AP364" s="115"/>
      <c r="AQ364" s="115"/>
      <c r="AR364" s="115"/>
      <c r="AS364" s="115"/>
      <c r="AT364" s="115"/>
      <c r="AU364" s="115"/>
      <c r="AV364" s="115"/>
      <c r="AW364" s="115"/>
      <c r="AX364" s="25"/>
      <c r="AY364" s="25"/>
      <c r="BB364" s="114"/>
    </row>
    <row r="365" spans="1:54" ht="19.5" x14ac:dyDescent="0.4">
      <c r="A365" s="117"/>
      <c r="B365" s="123"/>
      <c r="C365" s="123"/>
      <c r="D365" s="123"/>
      <c r="O365" s="26"/>
      <c r="P365" s="13"/>
      <c r="Z365" s="25">
        <v>45686</v>
      </c>
      <c r="AA365" s="13" t="s">
        <v>146</v>
      </c>
      <c r="AF365" s="117"/>
      <c r="AG365" s="123"/>
      <c r="AH365" s="123"/>
      <c r="AI365" s="123"/>
      <c r="AN365" s="115"/>
      <c r="AO365" s="115"/>
      <c r="AP365" s="115"/>
      <c r="AQ365" s="115"/>
      <c r="AR365" s="115"/>
      <c r="AS365" s="115"/>
      <c r="AT365" s="115"/>
      <c r="AU365" s="115"/>
      <c r="AV365" s="115"/>
      <c r="AW365" s="115"/>
      <c r="AX365" s="25">
        <v>45265</v>
      </c>
      <c r="AY365" s="13" t="s">
        <v>162</v>
      </c>
      <c r="BB365" s="114"/>
    </row>
    <row r="366" spans="1:54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115"/>
      <c r="O366" s="26"/>
      <c r="P366" s="13"/>
      <c r="Z366" s="25"/>
      <c r="AA366" s="13"/>
      <c r="AF366" s="117"/>
      <c r="AG366" s="123"/>
      <c r="AH366" s="123"/>
      <c r="AI366" s="123"/>
      <c r="AN366" s="115"/>
      <c r="AO366" s="115"/>
      <c r="AP366" s="115"/>
      <c r="AQ366" s="115"/>
      <c r="AR366" s="115"/>
      <c r="AS366" s="115"/>
      <c r="AT366" s="115"/>
      <c r="AU366" s="115"/>
      <c r="AV366" s="115"/>
      <c r="AW366" s="115"/>
      <c r="AX366" s="25"/>
      <c r="AY366" s="13"/>
      <c r="BB366" s="114"/>
    </row>
    <row r="367" spans="1:54" ht="19.5" x14ac:dyDescent="0.4">
      <c r="A367" s="117"/>
      <c r="B367" s="123"/>
      <c r="C367" s="123"/>
      <c r="D367" s="123"/>
      <c r="O367" s="26"/>
      <c r="P367" s="13"/>
      <c r="V367" s="115"/>
      <c r="W367" s="115"/>
      <c r="X367" s="115"/>
      <c r="Y367" s="115"/>
      <c r="Z367" s="25">
        <v>45686</v>
      </c>
      <c r="AA367" s="15" t="s">
        <v>146</v>
      </c>
      <c r="AF367" s="117"/>
      <c r="AG367" s="123"/>
      <c r="AH367" s="123"/>
      <c r="AI367" s="123"/>
      <c r="AN367" s="115"/>
      <c r="AO367" s="115"/>
      <c r="AP367" s="115"/>
      <c r="AQ367" s="115"/>
      <c r="AR367" s="115"/>
      <c r="AS367" s="115"/>
      <c r="AT367" s="115"/>
      <c r="AU367" s="115"/>
      <c r="AV367" s="115"/>
      <c r="AW367" s="115"/>
      <c r="AX367" s="25"/>
      <c r="AY367" s="13"/>
      <c r="BB367" s="114"/>
    </row>
    <row r="368" spans="1:54" ht="19.5" x14ac:dyDescent="0.4">
      <c r="A368" s="117"/>
      <c r="B368" s="123"/>
      <c r="C368" s="123"/>
      <c r="D368" s="123"/>
      <c r="O368" s="26"/>
      <c r="P368" s="13"/>
      <c r="Z368" s="25">
        <v>45686</v>
      </c>
      <c r="AA368" s="15" t="s">
        <v>147</v>
      </c>
      <c r="AF368" s="117"/>
      <c r="AG368" s="123"/>
      <c r="AH368" s="123"/>
      <c r="AI368" s="123"/>
      <c r="AN368" s="115"/>
      <c r="AO368" s="115"/>
      <c r="AP368" s="115"/>
      <c r="AQ368" s="115"/>
      <c r="AR368" s="115"/>
      <c r="AS368" s="115"/>
      <c r="AT368" s="115"/>
      <c r="AU368" s="115"/>
      <c r="AV368" s="115"/>
      <c r="AW368" s="115"/>
      <c r="AX368" s="25">
        <v>45265</v>
      </c>
      <c r="AY368" s="13" t="s">
        <v>162</v>
      </c>
      <c r="BB368" s="114"/>
    </row>
    <row r="369" spans="1:54" ht="19.5" x14ac:dyDescent="0.4">
      <c r="A369" s="117"/>
      <c r="B369" s="123"/>
      <c r="C369" s="123"/>
      <c r="D369" s="123"/>
      <c r="O369" s="26"/>
      <c r="P369" s="13"/>
      <c r="W369" s="115"/>
      <c r="X369" s="115"/>
      <c r="Y369" s="115"/>
      <c r="Z369" s="25">
        <v>45686</v>
      </c>
      <c r="AA369" s="15" t="s">
        <v>147</v>
      </c>
      <c r="AF369" s="117"/>
      <c r="AG369" s="123"/>
      <c r="AH369" s="123"/>
      <c r="AI369" s="123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25"/>
      <c r="AY369" s="13"/>
      <c r="BB369" s="114"/>
    </row>
    <row r="370" spans="1:54" ht="19.5" x14ac:dyDescent="0.4">
      <c r="A370" s="117"/>
      <c r="B370" s="123"/>
      <c r="C370" s="123"/>
      <c r="D370" s="123"/>
      <c r="O370" s="26"/>
      <c r="P370" s="13"/>
      <c r="Q370" s="115"/>
      <c r="R370" s="115"/>
      <c r="S370" s="115"/>
      <c r="T370" s="115"/>
      <c r="U370" s="115"/>
      <c r="V370" s="115"/>
      <c r="W370" s="115"/>
      <c r="X370" s="115"/>
      <c r="Y370" s="115"/>
      <c r="Z370" s="25">
        <v>45686</v>
      </c>
      <c r="AA370" s="13" t="s">
        <v>146</v>
      </c>
      <c r="AF370" s="117"/>
      <c r="AG370" s="123"/>
      <c r="AH370" s="123"/>
      <c r="AI370" s="123"/>
      <c r="AN370" s="115"/>
      <c r="AO370" s="115"/>
      <c r="AP370" s="115"/>
      <c r="AQ370" s="115"/>
      <c r="AR370" s="115"/>
      <c r="AS370" s="115"/>
      <c r="AT370" s="115"/>
      <c r="AU370" s="115"/>
      <c r="AV370" s="115"/>
      <c r="AW370" s="115"/>
      <c r="AX370" s="25"/>
      <c r="AY370" s="13"/>
      <c r="BB370" s="114"/>
    </row>
    <row r="371" spans="1:54" ht="19.5" x14ac:dyDescent="0.4">
      <c r="A371" s="117"/>
      <c r="B371" s="123"/>
      <c r="C371" s="123"/>
      <c r="D371" s="123"/>
      <c r="O371" s="26"/>
      <c r="P371" s="13"/>
      <c r="Z371" s="25">
        <v>45686</v>
      </c>
      <c r="AA371" s="25" t="s">
        <v>146</v>
      </c>
      <c r="AF371" s="117"/>
      <c r="AG371" s="123"/>
      <c r="AH371" s="123"/>
      <c r="AI371" s="123"/>
      <c r="AN371" s="115"/>
      <c r="AO371" s="115"/>
      <c r="AP371" s="115"/>
      <c r="AQ371" s="115"/>
      <c r="AR371" s="115"/>
      <c r="AS371" s="115"/>
      <c r="AT371" s="115"/>
      <c r="AU371" s="115"/>
      <c r="AV371" s="115"/>
      <c r="AW371" s="115"/>
      <c r="AX371" s="25">
        <v>45265</v>
      </c>
      <c r="AY371" s="13" t="s">
        <v>163</v>
      </c>
      <c r="BB371" s="114"/>
    </row>
    <row r="372" spans="1:54" ht="19.5" x14ac:dyDescent="0.4">
      <c r="A372" s="117"/>
      <c r="B372" s="123"/>
      <c r="C372" s="123"/>
      <c r="D372" s="123"/>
      <c r="O372" s="26"/>
      <c r="P372" s="13"/>
      <c r="Z372" s="25">
        <v>45686</v>
      </c>
      <c r="AA372" s="25" t="s">
        <v>147</v>
      </c>
      <c r="AF372" s="117"/>
      <c r="AG372" s="123"/>
      <c r="AH372" s="123"/>
      <c r="AI372" s="123"/>
      <c r="AN372" s="115"/>
      <c r="AO372" s="115"/>
      <c r="AP372" s="115"/>
      <c r="AQ372" s="115"/>
      <c r="AR372" s="115"/>
      <c r="AS372" s="115"/>
      <c r="AT372" s="115"/>
      <c r="AU372" s="115"/>
      <c r="AV372" s="115"/>
      <c r="AW372" s="115" t="s">
        <v>155</v>
      </c>
      <c r="AX372" s="13">
        <f>SUBTOTAL(3,AX361:AX371)</f>
        <v>5</v>
      </c>
      <c r="AY372" s="13">
        <f>SUBTOTAL(3,AY361:AY371)</f>
        <v>5</v>
      </c>
      <c r="BB372" s="114"/>
    </row>
    <row r="373" spans="1:54" ht="19.5" x14ac:dyDescent="0.4">
      <c r="A373" s="117"/>
      <c r="B373" s="123"/>
      <c r="C373" s="123"/>
      <c r="D373" s="123"/>
      <c r="O373" s="26"/>
      <c r="P373" s="13"/>
      <c r="Q373" s="115"/>
      <c r="R373" s="115"/>
      <c r="S373" s="115"/>
      <c r="T373" s="115"/>
      <c r="U373" s="115"/>
      <c r="V373" s="115"/>
      <c r="W373" s="115"/>
      <c r="X373" s="115"/>
      <c r="Y373" s="115"/>
      <c r="Z373" s="25">
        <v>45686</v>
      </c>
      <c r="AA373" s="25" t="s">
        <v>148</v>
      </c>
      <c r="AF373" s="117"/>
      <c r="AG373" s="123"/>
      <c r="AH373" s="123"/>
      <c r="AI373" s="123"/>
      <c r="AN373" s="115"/>
      <c r="AO373" s="115"/>
      <c r="AP373" s="115"/>
      <c r="AQ373" s="115"/>
      <c r="AR373" s="115"/>
      <c r="AS373" s="115"/>
      <c r="AT373" s="115"/>
      <c r="AU373" s="115"/>
      <c r="AV373" s="115"/>
      <c r="AW373" s="115"/>
      <c r="AX373" s="13"/>
      <c r="AY373" s="13"/>
      <c r="BB373" s="114"/>
    </row>
    <row r="374" spans="1:54" ht="19.5" x14ac:dyDescent="0.4">
      <c r="A374" s="117"/>
      <c r="B374" s="123"/>
      <c r="C374" s="123"/>
      <c r="D374" s="123"/>
      <c r="O374" s="26"/>
      <c r="P374" s="13"/>
      <c r="Q374" s="115"/>
      <c r="R374" s="115"/>
      <c r="S374" s="115"/>
      <c r="T374" s="115"/>
      <c r="U374" s="115"/>
      <c r="V374" s="115"/>
      <c r="W374" s="115"/>
      <c r="X374" s="115"/>
      <c r="Y374" s="115"/>
      <c r="Z374" s="25">
        <v>45686</v>
      </c>
      <c r="AA374" s="13" t="s">
        <v>146</v>
      </c>
      <c r="AF374" s="117"/>
      <c r="AG374" s="123"/>
      <c r="AH374" s="123"/>
      <c r="AI374" s="123"/>
      <c r="AN374" s="115"/>
      <c r="AO374" s="115"/>
      <c r="AP374" s="115"/>
      <c r="AQ374" s="115"/>
      <c r="AR374" s="115"/>
      <c r="AS374" s="115"/>
      <c r="AT374" s="115"/>
      <c r="AU374" s="115"/>
      <c r="AV374" s="115"/>
      <c r="AW374" s="115"/>
      <c r="AX374" s="13"/>
      <c r="AY374" s="13"/>
      <c r="BB374" s="114"/>
    </row>
    <row r="375" spans="1:54" ht="19.5" x14ac:dyDescent="0.4">
      <c r="A375" s="117"/>
      <c r="B375" s="123"/>
      <c r="C375" s="123"/>
      <c r="D375" s="123"/>
      <c r="F375" s="115"/>
      <c r="G375" s="115"/>
      <c r="H375" s="115"/>
      <c r="I375" s="115"/>
      <c r="J375" s="115"/>
      <c r="K375" s="115"/>
      <c r="L375" s="115"/>
      <c r="M375" s="115"/>
      <c r="N375" s="115"/>
      <c r="O375" s="26"/>
      <c r="P375" s="13"/>
      <c r="Q375" s="115"/>
      <c r="R375" s="115"/>
      <c r="S375" s="115"/>
      <c r="T375" s="115"/>
      <c r="U375" s="115"/>
      <c r="V375" s="115"/>
      <c r="W375" s="115"/>
      <c r="X375" s="115"/>
      <c r="Y375" s="115"/>
      <c r="Z375" s="25">
        <v>45686</v>
      </c>
      <c r="AA375" s="13" t="s">
        <v>146</v>
      </c>
      <c r="AF375" s="117"/>
      <c r="AG375" s="123"/>
      <c r="AH375" s="123"/>
      <c r="AI375" s="123"/>
      <c r="AN375" s="115"/>
      <c r="AO375" s="115"/>
      <c r="AP375" s="115"/>
      <c r="AQ375" s="115"/>
      <c r="AR375" s="115"/>
      <c r="AS375" s="115"/>
      <c r="AT375" s="115"/>
      <c r="AU375" s="115"/>
      <c r="AV375" s="115"/>
      <c r="AW375" s="115"/>
      <c r="AX375" s="13"/>
      <c r="AY375" s="13"/>
      <c r="BB375" s="114"/>
    </row>
    <row r="376" spans="1:54" ht="19.5" x14ac:dyDescent="0.4">
      <c r="A376" s="117"/>
      <c r="B376" s="123"/>
      <c r="C376" s="123"/>
      <c r="D376" s="123"/>
      <c r="F376" s="115"/>
      <c r="G376" s="115"/>
      <c r="H376" s="115"/>
      <c r="I376" s="115"/>
      <c r="J376" s="115"/>
      <c r="K376" s="115"/>
      <c r="L376" s="115"/>
      <c r="M376" s="115"/>
      <c r="N376" s="115"/>
      <c r="O376" s="26"/>
      <c r="P376" s="13"/>
      <c r="Q376" s="115"/>
      <c r="R376" s="115"/>
      <c r="S376" s="115"/>
      <c r="T376" s="115"/>
      <c r="U376" s="115"/>
      <c r="V376" s="115"/>
      <c r="W376" s="115"/>
      <c r="X376" s="115"/>
      <c r="Y376" s="115"/>
      <c r="Z376" s="25">
        <v>45686</v>
      </c>
      <c r="AA376" s="15" t="s">
        <v>148</v>
      </c>
      <c r="AF376" s="117"/>
      <c r="AG376" s="123"/>
      <c r="AH376" s="123"/>
      <c r="AI376" s="123"/>
      <c r="AN376" s="115"/>
      <c r="AO376" s="115"/>
      <c r="AP376" s="115"/>
      <c r="AQ376" s="115"/>
      <c r="AR376" s="115"/>
      <c r="AS376" s="115"/>
      <c r="AT376" s="115"/>
      <c r="AU376" s="115"/>
      <c r="AV376" s="115"/>
      <c r="AW376" s="115"/>
      <c r="AX376" s="13"/>
      <c r="AY376" s="13"/>
      <c r="BB376" s="114"/>
    </row>
    <row r="377" spans="1:54" ht="19.5" x14ac:dyDescent="0.4">
      <c r="A377" s="117"/>
      <c r="B377" s="123"/>
      <c r="C377" s="123"/>
      <c r="D377" s="123"/>
      <c r="F377" s="115"/>
      <c r="G377" s="115"/>
      <c r="H377" s="115"/>
      <c r="I377" s="115"/>
      <c r="J377" s="115"/>
      <c r="K377" s="115"/>
      <c r="L377" s="115"/>
      <c r="M377" s="115"/>
      <c r="N377" s="115"/>
      <c r="O377" s="26"/>
      <c r="P377" s="13"/>
      <c r="Q377" s="115"/>
      <c r="R377" s="115"/>
      <c r="S377" s="115"/>
      <c r="T377" s="115"/>
      <c r="U377" s="115"/>
      <c r="V377" s="115"/>
      <c r="W377" s="115"/>
      <c r="X377" s="115"/>
      <c r="Y377" s="115"/>
      <c r="Z377" s="25">
        <v>45686</v>
      </c>
      <c r="AA377" s="15" t="s">
        <v>148</v>
      </c>
      <c r="AF377" s="117"/>
      <c r="AG377" s="123"/>
      <c r="AH377" s="123"/>
      <c r="AI377" s="123"/>
      <c r="AN377" s="115"/>
      <c r="AO377" s="115"/>
      <c r="AP377" s="115"/>
      <c r="AQ377" s="115"/>
      <c r="AR377" s="115"/>
      <c r="AS377" s="115"/>
      <c r="AT377" s="115"/>
      <c r="AU377" s="115"/>
      <c r="AV377" s="115"/>
      <c r="AW377" s="115"/>
      <c r="AX377" s="13"/>
      <c r="AY377" s="13"/>
      <c r="BB377" s="114"/>
    </row>
    <row r="378" spans="1:54" ht="19.5" x14ac:dyDescent="0.4">
      <c r="A378" s="117"/>
      <c r="B378" s="123"/>
      <c r="C378" s="123"/>
      <c r="D378" s="123"/>
      <c r="F378" s="115"/>
      <c r="G378" s="115"/>
      <c r="H378" s="115"/>
      <c r="I378" s="115"/>
      <c r="J378" s="115"/>
      <c r="K378" s="115"/>
      <c r="L378" s="115"/>
      <c r="M378" s="115"/>
      <c r="N378" s="115"/>
      <c r="O378" s="26"/>
      <c r="P378" s="13"/>
      <c r="Q378" s="115"/>
      <c r="R378" s="115"/>
      <c r="S378" s="115"/>
      <c r="T378" s="115"/>
      <c r="U378" s="115"/>
      <c r="V378" s="115"/>
      <c r="W378" s="115"/>
      <c r="X378" s="115"/>
      <c r="Y378" s="115"/>
      <c r="Z378" s="25">
        <v>45686</v>
      </c>
      <c r="AA378" s="15" t="s">
        <v>148</v>
      </c>
      <c r="AF378" s="117"/>
      <c r="AG378" s="123"/>
      <c r="AH378" s="123"/>
      <c r="AI378" s="123"/>
      <c r="AN378" s="115"/>
      <c r="AO378" s="115"/>
      <c r="AP378" s="115"/>
      <c r="AQ378" s="115"/>
      <c r="AR378" s="115"/>
      <c r="AS378" s="115"/>
      <c r="AT378" s="115"/>
      <c r="AU378" s="115"/>
      <c r="AV378" s="115"/>
      <c r="AW378" s="115"/>
      <c r="AX378" s="13"/>
      <c r="AY378" s="13"/>
      <c r="BB378" s="114"/>
    </row>
    <row r="379" spans="1:54" ht="19.5" x14ac:dyDescent="0.4">
      <c r="A379" s="117"/>
      <c r="B379" s="123"/>
      <c r="C379" s="123"/>
      <c r="D379" s="123"/>
      <c r="F379" s="115"/>
      <c r="G379" s="115"/>
      <c r="H379" s="115"/>
      <c r="I379" s="115"/>
      <c r="J379" s="115"/>
      <c r="K379" s="115"/>
      <c r="L379" s="115"/>
      <c r="M379" s="115"/>
      <c r="N379" s="115"/>
      <c r="O379" s="26"/>
      <c r="P379" s="13"/>
      <c r="Q379" s="115"/>
      <c r="R379" s="115"/>
      <c r="S379" s="115"/>
      <c r="T379" s="115"/>
      <c r="U379" s="115"/>
      <c r="V379" s="115"/>
      <c r="W379" s="115"/>
      <c r="X379" s="115"/>
      <c r="Y379" s="115"/>
      <c r="Z379" s="25">
        <v>45686</v>
      </c>
      <c r="AA379" s="15" t="s">
        <v>146</v>
      </c>
      <c r="AF379" s="117"/>
      <c r="AG379" s="123"/>
      <c r="AH379" s="123"/>
      <c r="AI379" s="123"/>
      <c r="AN379" s="115"/>
      <c r="AO379" s="115"/>
      <c r="AP379" s="115"/>
      <c r="AQ379" s="115"/>
      <c r="AR379" s="115"/>
      <c r="AS379" s="115"/>
      <c r="AT379" s="115"/>
      <c r="AU379" s="115"/>
      <c r="AV379" s="115"/>
      <c r="AW379" s="115"/>
      <c r="AX379" s="13"/>
      <c r="AY379" s="13"/>
      <c r="BB379" s="114"/>
    </row>
    <row r="380" spans="1:54" ht="19.5" x14ac:dyDescent="0.4">
      <c r="A380" s="117"/>
      <c r="B380" s="123"/>
      <c r="C380" s="123"/>
      <c r="D380" s="123"/>
      <c r="F380" s="115"/>
      <c r="G380" s="115"/>
      <c r="H380" s="115"/>
      <c r="I380" s="115"/>
      <c r="J380" s="115"/>
      <c r="K380" s="115"/>
      <c r="L380" s="115"/>
      <c r="M380" s="115"/>
      <c r="N380" s="115"/>
      <c r="O380" s="26"/>
      <c r="P380" s="13"/>
      <c r="Q380" s="115"/>
      <c r="R380" s="115"/>
      <c r="S380" s="115"/>
      <c r="T380" s="115"/>
      <c r="U380" s="115"/>
      <c r="V380" s="115"/>
      <c r="W380" s="115"/>
      <c r="X380" s="115"/>
      <c r="Y380" s="115"/>
      <c r="Z380" s="25">
        <v>45686</v>
      </c>
      <c r="AA380" s="15" t="s">
        <v>148</v>
      </c>
      <c r="AF380" s="117"/>
      <c r="AG380" s="123"/>
      <c r="AH380" s="123"/>
      <c r="AI380" s="123"/>
      <c r="AN380" s="115"/>
      <c r="AO380" s="115"/>
      <c r="AP380" s="115"/>
      <c r="AQ380" s="115"/>
      <c r="AR380" s="115"/>
      <c r="AS380" s="115"/>
      <c r="AT380" s="115"/>
      <c r="AU380" s="115"/>
      <c r="AV380" s="115"/>
      <c r="AW380" s="115"/>
      <c r="AX380" s="13"/>
      <c r="AY380" s="13"/>
      <c r="BB380" s="114"/>
    </row>
    <row r="381" spans="1:54" ht="19.5" x14ac:dyDescent="0.4">
      <c r="A381" s="117"/>
      <c r="B381" s="123"/>
      <c r="C381" s="123"/>
      <c r="D381" s="123"/>
      <c r="F381" s="115"/>
      <c r="G381" s="115"/>
      <c r="H381" s="115"/>
      <c r="I381" s="115"/>
      <c r="J381" s="115"/>
      <c r="K381" s="115"/>
      <c r="L381" s="115"/>
      <c r="M381" s="115"/>
      <c r="N381" s="115"/>
      <c r="O381" s="26"/>
      <c r="P381" s="13"/>
      <c r="Q381" s="115"/>
      <c r="R381" s="115"/>
      <c r="S381" s="115"/>
      <c r="T381" s="115"/>
      <c r="U381" s="115"/>
      <c r="V381" s="115"/>
      <c r="W381" s="115"/>
      <c r="X381" s="115"/>
      <c r="Y381" s="115"/>
      <c r="Z381" s="25">
        <v>45689</v>
      </c>
      <c r="AA381" s="15" t="s">
        <v>147</v>
      </c>
      <c r="AF381" s="117"/>
      <c r="AG381" s="123"/>
      <c r="AH381" s="123"/>
      <c r="AI381" s="123"/>
      <c r="AN381" s="115"/>
      <c r="AO381" s="115"/>
      <c r="AP381" s="115"/>
      <c r="AQ381" s="115"/>
      <c r="AR381" s="115"/>
      <c r="AS381" s="115"/>
      <c r="AT381" s="115"/>
      <c r="AU381" s="115"/>
      <c r="AV381" s="115"/>
      <c r="AW381" s="115"/>
      <c r="AX381" s="13"/>
      <c r="AY381" s="13"/>
      <c r="BB381" s="114"/>
    </row>
    <row r="382" spans="1:54" ht="19.5" x14ac:dyDescent="0.4">
      <c r="A382" s="117"/>
      <c r="B382" s="123"/>
      <c r="C382" s="123"/>
      <c r="D382" s="123"/>
      <c r="F382" s="115"/>
      <c r="G382" s="115"/>
      <c r="H382" s="115"/>
      <c r="I382" s="115"/>
      <c r="J382" s="115"/>
      <c r="K382" s="115"/>
      <c r="L382" s="115"/>
      <c r="M382" s="115"/>
      <c r="N382" s="115"/>
      <c r="O382" s="26"/>
      <c r="P382" s="13"/>
      <c r="Q382" s="115"/>
      <c r="R382" s="115"/>
      <c r="S382" s="115"/>
      <c r="T382" s="115"/>
      <c r="U382" s="115"/>
      <c r="V382" s="115"/>
      <c r="W382" s="115"/>
      <c r="X382" s="115"/>
      <c r="Y382" s="115"/>
      <c r="Z382" s="25"/>
      <c r="AA382" s="15"/>
      <c r="AF382" s="117"/>
      <c r="AG382" s="123"/>
      <c r="AH382" s="123"/>
      <c r="AI382" s="123"/>
      <c r="AN382" s="115"/>
      <c r="AO382" s="115"/>
      <c r="AP382" s="115"/>
      <c r="AQ382" s="115"/>
      <c r="AR382" s="115"/>
      <c r="AS382" s="115"/>
      <c r="AT382" s="115"/>
      <c r="AU382" s="115"/>
      <c r="AV382" s="115"/>
      <c r="AW382" s="115"/>
      <c r="AX382" s="13"/>
      <c r="AY382" s="13"/>
      <c r="BB382" s="114"/>
    </row>
    <row r="383" spans="1:54" ht="19.5" x14ac:dyDescent="0.4">
      <c r="A383" s="117"/>
      <c r="B383" s="123"/>
      <c r="C383" s="123"/>
      <c r="D383" s="123"/>
      <c r="F383" s="115"/>
      <c r="G383" s="115"/>
      <c r="H383" s="115"/>
      <c r="I383" s="115"/>
      <c r="J383" s="115"/>
      <c r="K383" s="115"/>
      <c r="L383" s="115"/>
      <c r="M383" s="115"/>
      <c r="N383" s="115"/>
      <c r="O383" s="26"/>
      <c r="P383" s="13"/>
      <c r="Q383" s="115"/>
      <c r="R383" s="115"/>
      <c r="S383" s="115"/>
      <c r="T383" s="115"/>
      <c r="U383" s="115"/>
      <c r="V383" s="115"/>
      <c r="W383" s="115"/>
      <c r="X383" s="115"/>
      <c r="Y383" s="115"/>
      <c r="Z383" s="25">
        <v>45689</v>
      </c>
      <c r="AA383" s="15" t="s">
        <v>147</v>
      </c>
      <c r="AF383" s="117"/>
      <c r="AG383" s="123"/>
      <c r="AH383" s="123"/>
      <c r="AI383" s="123"/>
      <c r="AN383" s="115"/>
      <c r="AO383" s="115"/>
      <c r="AP383" s="115"/>
      <c r="AQ383" s="115"/>
      <c r="AR383" s="115"/>
      <c r="AS383" s="115"/>
      <c r="AT383" s="115"/>
      <c r="AU383" s="115"/>
      <c r="AV383" s="115"/>
      <c r="AW383" s="115"/>
      <c r="AX383" s="13"/>
      <c r="AY383" s="13"/>
      <c r="BB383" s="114"/>
    </row>
    <row r="384" spans="1:54" ht="19.5" x14ac:dyDescent="0.4">
      <c r="A384" s="117"/>
      <c r="B384" s="123"/>
      <c r="C384" s="123"/>
      <c r="D384" s="123"/>
      <c r="O384" s="26"/>
      <c r="P384" s="13"/>
      <c r="Z384" s="25">
        <v>45689</v>
      </c>
      <c r="AA384" s="15" t="s">
        <v>146</v>
      </c>
      <c r="AF384" s="117"/>
      <c r="AG384" s="123"/>
      <c r="AH384" s="123"/>
      <c r="AI384" s="123"/>
      <c r="AK384" s="115"/>
      <c r="AL384" s="115"/>
      <c r="AM384" s="115"/>
      <c r="AN384" s="115"/>
      <c r="AO384" s="115"/>
      <c r="AP384" s="115"/>
      <c r="AQ384" s="115"/>
      <c r="AR384" s="115"/>
      <c r="AS384" s="115"/>
      <c r="AT384" s="115"/>
      <c r="AU384" s="115"/>
      <c r="AV384" s="115"/>
      <c r="AW384" s="115"/>
      <c r="AX384" s="25">
        <v>45266</v>
      </c>
      <c r="AY384" s="25" t="s">
        <v>162</v>
      </c>
      <c r="BB384" s="114"/>
    </row>
    <row r="385" spans="1:54" ht="19.5" x14ac:dyDescent="0.4">
      <c r="A385" s="117"/>
      <c r="B385" s="123"/>
      <c r="C385" s="123"/>
      <c r="D385" s="123"/>
      <c r="O385" s="129"/>
      <c r="P385" s="13"/>
      <c r="Z385" s="25"/>
      <c r="AA385" s="15"/>
      <c r="AF385" s="117"/>
      <c r="AG385" s="123"/>
      <c r="AH385" s="123"/>
      <c r="AI385" s="123"/>
      <c r="AK385" s="115"/>
      <c r="AL385" s="115"/>
      <c r="AM385" s="115"/>
      <c r="AN385" s="115"/>
      <c r="AO385" s="115"/>
      <c r="AP385" s="115"/>
      <c r="AQ385" s="115"/>
      <c r="AR385" s="115"/>
      <c r="AS385" s="115"/>
      <c r="AT385" s="115"/>
      <c r="AU385" s="115"/>
      <c r="AV385" s="115"/>
      <c r="AW385" s="115"/>
      <c r="AX385" s="25"/>
      <c r="AY385" s="25"/>
      <c r="BB385" s="114"/>
    </row>
    <row r="386" spans="1:54" ht="19.5" x14ac:dyDescent="0.4">
      <c r="A386" s="117"/>
      <c r="B386" s="123"/>
      <c r="C386" s="123"/>
      <c r="D386" s="123"/>
      <c r="O386" s="26"/>
      <c r="P386" s="13"/>
      <c r="Q386" s="115"/>
      <c r="R386" s="115"/>
      <c r="S386" s="115"/>
      <c r="T386" s="115"/>
      <c r="U386" s="115"/>
      <c r="V386" s="115"/>
      <c r="W386" s="115"/>
      <c r="X386" s="115"/>
      <c r="Y386" s="115"/>
      <c r="Z386" s="25">
        <v>45689</v>
      </c>
      <c r="AA386" s="15" t="s">
        <v>146</v>
      </c>
      <c r="AF386" s="117"/>
      <c r="AG386" s="123"/>
      <c r="AH386" s="123"/>
      <c r="AI386" s="123"/>
      <c r="AK386" s="115"/>
      <c r="AL386" s="115"/>
      <c r="AM386" s="115"/>
      <c r="AN386" s="115"/>
      <c r="AO386" s="115"/>
      <c r="AP386" s="115"/>
      <c r="AQ386" s="115"/>
      <c r="AR386" s="115"/>
      <c r="AS386" s="115"/>
      <c r="AT386" s="115"/>
      <c r="AU386" s="115"/>
      <c r="AV386" s="115"/>
      <c r="AW386" s="115"/>
      <c r="AX386" s="25"/>
      <c r="AY386" s="25"/>
      <c r="BB386" s="114"/>
    </row>
    <row r="387" spans="1:54" ht="19.5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26"/>
      <c r="P387" s="13"/>
      <c r="Q387" s="115"/>
      <c r="R387" s="115"/>
      <c r="S387" s="115"/>
      <c r="T387" s="115"/>
      <c r="U387" s="115"/>
      <c r="V387" s="115"/>
      <c r="W387" s="115"/>
      <c r="X387" s="115"/>
      <c r="Y387" s="115"/>
      <c r="Z387" s="25"/>
      <c r="AA387" s="15"/>
      <c r="AF387" s="117"/>
      <c r="AG387" s="123"/>
      <c r="AH387" s="123"/>
      <c r="AI387" s="123"/>
      <c r="AK387" s="115"/>
      <c r="AL387" s="115"/>
      <c r="AM387" s="115"/>
      <c r="AN387" s="115"/>
      <c r="AO387" s="115"/>
      <c r="AP387" s="115"/>
      <c r="AQ387" s="115"/>
      <c r="AR387" s="115"/>
      <c r="AS387" s="115"/>
      <c r="AT387" s="115"/>
      <c r="AU387" s="115"/>
      <c r="AV387" s="115"/>
      <c r="AW387" s="115"/>
      <c r="AX387" s="25"/>
      <c r="AY387" s="25"/>
      <c r="BB387" s="114"/>
    </row>
    <row r="388" spans="1:54" ht="19.5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26"/>
      <c r="P388" s="13"/>
      <c r="Q388" s="115"/>
      <c r="R388" s="115"/>
      <c r="S388" s="115"/>
      <c r="T388" s="115"/>
      <c r="U388" s="115"/>
      <c r="V388" s="115"/>
      <c r="W388" s="115"/>
      <c r="X388" s="115"/>
      <c r="Y388" s="115"/>
      <c r="Z388" s="25"/>
      <c r="AA388" s="15"/>
      <c r="AF388" s="117"/>
      <c r="AG388" s="123"/>
      <c r="AH388" s="123"/>
      <c r="AI388" s="123"/>
      <c r="AK388" s="115"/>
      <c r="AL388" s="115"/>
      <c r="AM388" s="115"/>
      <c r="AN388" s="115"/>
      <c r="AO388" s="115"/>
      <c r="AP388" s="115"/>
      <c r="AQ388" s="115"/>
      <c r="AR388" s="115"/>
      <c r="AS388" s="115"/>
      <c r="AT388" s="115"/>
      <c r="AU388" s="115"/>
      <c r="AV388" s="115"/>
      <c r="AW388" s="115"/>
      <c r="AX388" s="25"/>
      <c r="AY388" s="25"/>
      <c r="BB388" s="114"/>
    </row>
    <row r="389" spans="1:54" ht="19.5" x14ac:dyDescent="0.4">
      <c r="A389" s="117"/>
      <c r="B389" s="123"/>
      <c r="C389" s="123"/>
      <c r="D389" s="123"/>
      <c r="O389" s="26"/>
      <c r="P389" s="13"/>
      <c r="Q389" s="115"/>
      <c r="R389" s="115"/>
      <c r="S389" s="115"/>
      <c r="T389" s="115"/>
      <c r="U389" s="115"/>
      <c r="V389" s="115"/>
      <c r="W389" s="115"/>
      <c r="X389" s="115"/>
      <c r="Y389" s="115"/>
      <c r="Z389" s="25">
        <v>45690</v>
      </c>
      <c r="AA389" s="15" t="s">
        <v>146</v>
      </c>
      <c r="AF389" s="117"/>
      <c r="AG389" s="123"/>
      <c r="AH389" s="123"/>
      <c r="AI389" s="123"/>
      <c r="AK389" s="115"/>
      <c r="AL389" s="115"/>
      <c r="AM389" s="115"/>
      <c r="AN389" s="115"/>
      <c r="AO389" s="115"/>
      <c r="AP389" s="115"/>
      <c r="AQ389" s="115"/>
      <c r="AR389" s="115"/>
      <c r="AS389" s="115"/>
      <c r="AT389" s="115"/>
      <c r="AU389" s="115"/>
      <c r="AV389" s="115"/>
      <c r="AW389" s="115"/>
      <c r="AX389" s="25"/>
      <c r="AY389" s="25"/>
      <c r="BB389" s="114"/>
    </row>
    <row r="390" spans="1:54" ht="19.5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26"/>
      <c r="P390" s="13"/>
      <c r="Q390" s="115"/>
      <c r="R390" s="115"/>
      <c r="S390" s="115"/>
      <c r="T390" s="115"/>
      <c r="U390" s="115"/>
      <c r="V390" s="115"/>
      <c r="W390" s="115"/>
      <c r="X390" s="115"/>
      <c r="Y390" s="115"/>
      <c r="Z390" s="25"/>
      <c r="AA390" s="15"/>
      <c r="AF390" s="117"/>
      <c r="AG390" s="123"/>
      <c r="AH390" s="123"/>
      <c r="AI390" s="123"/>
      <c r="AK390" s="115"/>
      <c r="AL390" s="115"/>
      <c r="AM390" s="115"/>
      <c r="AN390" s="115"/>
      <c r="AO390" s="115"/>
      <c r="AP390" s="115"/>
      <c r="AQ390" s="115"/>
      <c r="AR390" s="115"/>
      <c r="AS390" s="115"/>
      <c r="AT390" s="115"/>
      <c r="AU390" s="115"/>
      <c r="AV390" s="115"/>
      <c r="AW390" s="115"/>
      <c r="AX390" s="25"/>
      <c r="AY390" s="25"/>
      <c r="BB390" s="114"/>
    </row>
    <row r="391" spans="1:54" ht="19.5" x14ac:dyDescent="0.4">
      <c r="A391" s="117"/>
      <c r="B391" s="123"/>
      <c r="C391" s="123"/>
      <c r="D391" s="123"/>
      <c r="O391" s="26"/>
      <c r="P391" s="13"/>
      <c r="Q391" s="115"/>
      <c r="R391" s="115"/>
      <c r="S391" s="115"/>
      <c r="T391" s="115"/>
      <c r="U391" s="115"/>
      <c r="V391" s="115"/>
      <c r="W391" s="115"/>
      <c r="X391" s="115"/>
      <c r="Y391" s="115"/>
      <c r="Z391" s="25">
        <v>45691</v>
      </c>
      <c r="AA391" s="15" t="s">
        <v>146</v>
      </c>
      <c r="AF391" s="117"/>
      <c r="AG391" s="123"/>
      <c r="AH391" s="123"/>
      <c r="AI391" s="123"/>
      <c r="AK391" s="115"/>
      <c r="AL391" s="115"/>
      <c r="AM391" s="115"/>
      <c r="AN391" s="115"/>
      <c r="AO391" s="115"/>
      <c r="AP391" s="115"/>
      <c r="AQ391" s="115"/>
      <c r="AR391" s="115"/>
      <c r="AS391" s="115"/>
      <c r="AT391" s="115"/>
      <c r="AU391" s="115"/>
      <c r="AV391" s="115"/>
      <c r="AW391" s="115"/>
      <c r="AX391" s="25"/>
      <c r="AY391" s="25"/>
      <c r="BB391" s="114"/>
    </row>
    <row r="392" spans="1:54" ht="19.5" x14ac:dyDescent="0.4">
      <c r="A392" s="117"/>
      <c r="B392" s="123"/>
      <c r="C392" s="123"/>
      <c r="D392" s="123"/>
      <c r="O392" s="26"/>
      <c r="P392" s="13"/>
      <c r="Z392" s="25">
        <v>45691</v>
      </c>
      <c r="AA392" s="15" t="s">
        <v>146</v>
      </c>
      <c r="AF392" s="117"/>
      <c r="AG392" s="123"/>
      <c r="AH392" s="123"/>
      <c r="AI392" s="123"/>
      <c r="AK392" s="115"/>
      <c r="AL392" s="115"/>
      <c r="AM392" s="115"/>
      <c r="AN392" s="115"/>
      <c r="AO392" s="115"/>
      <c r="AP392" s="115"/>
      <c r="AQ392" s="115"/>
      <c r="AR392" s="115"/>
      <c r="AS392" s="115"/>
      <c r="AT392" s="115"/>
      <c r="AU392" s="115"/>
      <c r="AV392" s="115"/>
      <c r="AW392" s="115" t="s">
        <v>156</v>
      </c>
      <c r="AX392" s="13">
        <f>SUBTOTAL(3,AX384:AX384)</f>
        <v>1</v>
      </c>
      <c r="AY392" s="13">
        <f>SUBTOTAL(3,AY384:AY384)</f>
        <v>1</v>
      </c>
      <c r="BB392" s="114"/>
    </row>
    <row r="393" spans="1:54" ht="19.5" x14ac:dyDescent="0.4">
      <c r="A393" s="117"/>
      <c r="B393" s="123"/>
      <c r="C393" s="123"/>
      <c r="D393" s="123"/>
      <c r="O393" s="26"/>
      <c r="P393" s="13"/>
      <c r="V393" s="115"/>
      <c r="W393" s="115"/>
      <c r="X393" s="115"/>
      <c r="Y393" s="115"/>
      <c r="Z393" s="25">
        <v>45691</v>
      </c>
      <c r="AA393" s="15" t="s">
        <v>146</v>
      </c>
      <c r="AF393" s="117"/>
      <c r="AG393" s="123"/>
      <c r="AH393" s="123"/>
      <c r="AI393" s="123"/>
      <c r="AK393" s="115"/>
      <c r="AL393" s="115"/>
      <c r="AM393" s="115"/>
      <c r="AN393" s="115"/>
      <c r="AO393" s="115"/>
      <c r="AP393" s="115"/>
      <c r="AQ393" s="115"/>
      <c r="AR393" s="115"/>
      <c r="AS393" s="115"/>
      <c r="AT393" s="115"/>
      <c r="AU393" s="115"/>
      <c r="AV393" s="115"/>
      <c r="AW393" s="115"/>
      <c r="AX393" s="13"/>
      <c r="AY393" s="13"/>
      <c r="BB393" s="114"/>
    </row>
    <row r="394" spans="1:54" ht="19.5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26"/>
      <c r="P394" s="13"/>
      <c r="V394" s="115"/>
      <c r="W394" s="115"/>
      <c r="X394" s="115"/>
      <c r="Y394" s="115"/>
      <c r="Z394" s="25"/>
      <c r="AA394" s="15"/>
      <c r="AF394" s="117"/>
      <c r="AG394" s="123"/>
      <c r="AH394" s="123"/>
      <c r="AI394" s="123"/>
      <c r="AK394" s="115"/>
      <c r="AL394" s="115"/>
      <c r="AM394" s="115"/>
      <c r="AN394" s="115"/>
      <c r="AO394" s="115"/>
      <c r="AP394" s="115"/>
      <c r="AQ394" s="115"/>
      <c r="AR394" s="115"/>
      <c r="AS394" s="115"/>
      <c r="AT394" s="115"/>
      <c r="AU394" s="115"/>
      <c r="AV394" s="115"/>
      <c r="AW394" s="115"/>
      <c r="AX394" s="13"/>
      <c r="AY394" s="13"/>
      <c r="BB394" s="114"/>
    </row>
    <row r="395" spans="1:54" ht="19.5" x14ac:dyDescent="0.4">
      <c r="A395" s="117"/>
      <c r="B395" s="123"/>
      <c r="C395" s="123"/>
      <c r="D395" s="123"/>
      <c r="O395" s="26"/>
      <c r="P395" s="13"/>
      <c r="Q395" s="115"/>
      <c r="R395" s="115"/>
      <c r="S395" s="115"/>
      <c r="T395" s="115"/>
      <c r="U395" s="115"/>
      <c r="V395" s="115"/>
      <c r="W395" s="115"/>
      <c r="X395" s="115"/>
      <c r="Y395" s="115"/>
      <c r="Z395" s="25">
        <v>45691</v>
      </c>
      <c r="AA395" s="15" t="s">
        <v>146</v>
      </c>
      <c r="AF395" s="117"/>
      <c r="AG395" s="123"/>
      <c r="AH395" s="123"/>
      <c r="AI395" s="123"/>
      <c r="AK395" s="115"/>
      <c r="AL395" s="115"/>
      <c r="AM395" s="115"/>
      <c r="AN395" s="115"/>
      <c r="AO395" s="115"/>
      <c r="AP395" s="115"/>
      <c r="AQ395" s="115"/>
      <c r="AR395" s="115"/>
      <c r="AS395" s="115"/>
      <c r="AT395" s="115"/>
      <c r="AU395" s="115"/>
      <c r="AV395" s="115"/>
      <c r="AW395" s="115"/>
      <c r="AX395" s="13"/>
      <c r="AY395" s="13"/>
      <c r="BB395" s="114"/>
    </row>
    <row r="396" spans="1:54" ht="19.5" x14ac:dyDescent="0.4">
      <c r="A396" s="117"/>
      <c r="B396" s="123"/>
      <c r="C396" s="123"/>
      <c r="D396" s="123"/>
      <c r="H396" s="115"/>
      <c r="I396" s="115"/>
      <c r="J396" s="115"/>
      <c r="K396" s="115"/>
      <c r="L396" s="115"/>
      <c r="M396" s="115"/>
      <c r="N396" s="115"/>
      <c r="O396" s="26"/>
      <c r="P396" s="13"/>
      <c r="Q396" s="115"/>
      <c r="R396" s="115"/>
      <c r="S396" s="115"/>
      <c r="T396" s="115"/>
      <c r="U396" s="115"/>
      <c r="V396" s="115"/>
      <c r="W396" s="115"/>
      <c r="X396" s="115"/>
      <c r="Y396" s="115"/>
      <c r="Z396" s="25"/>
      <c r="AA396" s="15"/>
      <c r="AF396" s="117"/>
      <c r="AG396" s="123"/>
      <c r="AH396" s="123"/>
      <c r="AI396" s="123"/>
      <c r="AK396" s="115"/>
      <c r="AL396" s="115"/>
      <c r="AM396" s="115"/>
      <c r="AN396" s="115"/>
      <c r="AO396" s="115"/>
      <c r="AP396" s="115"/>
      <c r="AQ396" s="115"/>
      <c r="AR396" s="115"/>
      <c r="AS396" s="115"/>
      <c r="AT396" s="115"/>
      <c r="AU396" s="115"/>
      <c r="AV396" s="115"/>
      <c r="AW396" s="115"/>
      <c r="AX396" s="13"/>
      <c r="AY396" s="13"/>
      <c r="BB396" s="114"/>
    </row>
    <row r="397" spans="1:54" ht="19.5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26"/>
      <c r="P397" s="13"/>
      <c r="Q397" s="115"/>
      <c r="R397" s="115"/>
      <c r="S397" s="115"/>
      <c r="T397" s="115"/>
      <c r="U397" s="115"/>
      <c r="V397" s="115"/>
      <c r="W397" s="115"/>
      <c r="X397" s="115"/>
      <c r="Y397" s="115"/>
      <c r="Z397" s="25"/>
      <c r="AA397" s="15"/>
      <c r="AF397" s="117"/>
      <c r="AG397" s="123"/>
      <c r="AH397" s="123"/>
      <c r="AI397" s="123"/>
      <c r="AK397" s="115"/>
      <c r="AL397" s="115"/>
      <c r="AM397" s="115"/>
      <c r="AN397" s="115"/>
      <c r="AO397" s="115"/>
      <c r="AP397" s="115"/>
      <c r="AQ397" s="115"/>
      <c r="AR397" s="115"/>
      <c r="AS397" s="115"/>
      <c r="AT397" s="115"/>
      <c r="AU397" s="115"/>
      <c r="AV397" s="115"/>
      <c r="AW397" s="115"/>
      <c r="AX397" s="13"/>
      <c r="AY397" s="13"/>
      <c r="BB397" s="114"/>
    </row>
    <row r="398" spans="1:54" ht="19.5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26"/>
      <c r="P398" s="13"/>
      <c r="Q398" s="115"/>
      <c r="R398" s="115"/>
      <c r="S398" s="115"/>
      <c r="T398" s="115"/>
      <c r="U398" s="115"/>
      <c r="V398" s="115"/>
      <c r="W398" s="115"/>
      <c r="X398" s="115"/>
      <c r="Y398" s="115"/>
      <c r="Z398" s="25"/>
      <c r="AA398" s="15"/>
      <c r="AF398" s="117"/>
      <c r="AG398" s="123"/>
      <c r="AH398" s="123"/>
      <c r="AI398" s="123"/>
      <c r="AK398" s="115"/>
      <c r="AL398" s="115"/>
      <c r="AM398" s="115"/>
      <c r="AN398" s="115"/>
      <c r="AO398" s="115"/>
      <c r="AP398" s="115"/>
      <c r="AQ398" s="115"/>
      <c r="AR398" s="115"/>
      <c r="AS398" s="115"/>
      <c r="AT398" s="115"/>
      <c r="AU398" s="115"/>
      <c r="AV398" s="115"/>
      <c r="AW398" s="115"/>
      <c r="AX398" s="13"/>
      <c r="AY398" s="13"/>
      <c r="BB398" s="114"/>
    </row>
    <row r="399" spans="1:54" ht="19.5" x14ac:dyDescent="0.4">
      <c r="A399" s="117"/>
      <c r="B399" s="123"/>
      <c r="C399" s="123"/>
      <c r="D399" s="123"/>
      <c r="G399" s="115"/>
      <c r="H399" s="115"/>
      <c r="I399" s="115"/>
      <c r="J399" s="115"/>
      <c r="K399" s="115"/>
      <c r="L399" s="115"/>
      <c r="M399" s="115"/>
      <c r="N399" s="115"/>
      <c r="O399" s="129"/>
      <c r="P399" s="13"/>
      <c r="Q399" s="115"/>
      <c r="R399" s="115"/>
      <c r="S399" s="115"/>
      <c r="T399" s="115"/>
      <c r="U399" s="115"/>
      <c r="V399" s="115"/>
      <c r="W399" s="115"/>
      <c r="X399" s="115"/>
      <c r="Y399" s="115"/>
      <c r="Z399" s="25"/>
      <c r="AA399" s="15"/>
      <c r="AF399" s="117"/>
      <c r="AG399" s="123"/>
      <c r="AH399" s="123"/>
      <c r="AI399" s="123"/>
      <c r="AK399" s="115"/>
      <c r="AL399" s="115"/>
      <c r="AM399" s="115"/>
      <c r="AN399" s="115"/>
      <c r="AO399" s="115"/>
      <c r="AP399" s="115"/>
      <c r="AQ399" s="115"/>
      <c r="AR399" s="115"/>
      <c r="AS399" s="115"/>
      <c r="AT399" s="115"/>
      <c r="AU399" s="115"/>
      <c r="AV399" s="115"/>
      <c r="AW399" s="115"/>
      <c r="AX399" s="13"/>
      <c r="AY399" s="13"/>
      <c r="BB399" s="114"/>
    </row>
    <row r="400" spans="1:54" ht="19.5" x14ac:dyDescent="0.4">
      <c r="A400" s="117"/>
      <c r="B400" s="123"/>
      <c r="C400" s="123"/>
      <c r="D400" s="123"/>
      <c r="O400" s="26"/>
      <c r="P400" s="13"/>
      <c r="Q400" s="115"/>
      <c r="R400" s="115"/>
      <c r="S400" s="115"/>
      <c r="T400" s="115"/>
      <c r="U400" s="115"/>
      <c r="V400" s="115"/>
      <c r="W400" s="115"/>
      <c r="X400" s="115"/>
      <c r="Y400" s="115"/>
      <c r="Z400" s="25">
        <v>45692</v>
      </c>
      <c r="AA400" s="15" t="s">
        <v>146</v>
      </c>
      <c r="AF400" s="117"/>
      <c r="AG400" s="123"/>
      <c r="AH400" s="123"/>
      <c r="AI400" s="123"/>
      <c r="AK400" s="115"/>
      <c r="AL400" s="115"/>
      <c r="AM400" s="115"/>
      <c r="AN400" s="115"/>
      <c r="AO400" s="115"/>
      <c r="AP400" s="115"/>
      <c r="AQ400" s="115"/>
      <c r="AR400" s="115"/>
      <c r="AS400" s="115"/>
      <c r="AT400" s="115"/>
      <c r="AU400" s="115"/>
      <c r="AV400" s="115"/>
      <c r="AW400" s="115"/>
      <c r="AX400" s="13"/>
      <c r="AY400" s="13"/>
      <c r="BB400" s="114"/>
    </row>
    <row r="401" spans="1:54" ht="19.5" x14ac:dyDescent="0.4">
      <c r="A401" s="117"/>
      <c r="B401" s="123"/>
      <c r="C401" s="123"/>
      <c r="D401" s="123"/>
      <c r="O401" s="129"/>
      <c r="P401" s="13"/>
      <c r="Q401" s="115"/>
      <c r="R401" s="115"/>
      <c r="S401" s="115"/>
      <c r="T401" s="115"/>
      <c r="U401" s="115"/>
      <c r="V401" s="115"/>
      <c r="W401" s="115"/>
      <c r="X401" s="115"/>
      <c r="Y401" s="115"/>
      <c r="Z401" s="25"/>
      <c r="AA401" s="15"/>
      <c r="AF401" s="117"/>
      <c r="AG401" s="123"/>
      <c r="AH401" s="123"/>
      <c r="AI401" s="123"/>
      <c r="AK401" s="115"/>
      <c r="AL401" s="115"/>
      <c r="AM401" s="115"/>
      <c r="AN401" s="115"/>
      <c r="AO401" s="115"/>
      <c r="AP401" s="115"/>
      <c r="AQ401" s="115"/>
      <c r="AR401" s="115"/>
      <c r="AS401" s="115"/>
      <c r="AT401" s="115"/>
      <c r="AU401" s="115"/>
      <c r="AV401" s="115"/>
      <c r="AW401" s="115"/>
      <c r="AX401" s="13"/>
      <c r="AY401" s="13"/>
      <c r="BB401" s="114"/>
    </row>
    <row r="402" spans="1:54" ht="19.5" x14ac:dyDescent="0.4">
      <c r="A402" s="117"/>
      <c r="B402" s="123"/>
      <c r="C402" s="123"/>
      <c r="D402" s="123"/>
      <c r="O402" s="26"/>
      <c r="P402" s="13"/>
      <c r="Z402" s="25">
        <v>45692</v>
      </c>
      <c r="AA402" s="15" t="s">
        <v>146</v>
      </c>
      <c r="AF402" s="117"/>
      <c r="AG402" s="123"/>
      <c r="AH402" s="123"/>
      <c r="AI402" s="123"/>
      <c r="AK402" s="115"/>
      <c r="AL402" s="115"/>
      <c r="AM402" s="115"/>
      <c r="AN402" s="115"/>
      <c r="AO402" s="115"/>
      <c r="AP402" s="115"/>
      <c r="AQ402" s="115"/>
      <c r="AR402" s="115"/>
      <c r="AS402" s="115"/>
      <c r="AT402" s="115"/>
      <c r="AU402" s="115"/>
      <c r="AV402" s="115"/>
      <c r="AW402" s="115"/>
      <c r="AX402" s="25">
        <v>45267</v>
      </c>
      <c r="AY402" s="13" t="s">
        <v>142</v>
      </c>
      <c r="BB402" s="114"/>
    </row>
    <row r="403" spans="1:54" ht="19.5" x14ac:dyDescent="0.4">
      <c r="A403" s="117"/>
      <c r="B403" s="123"/>
      <c r="C403" s="123"/>
      <c r="D403" s="123"/>
      <c r="O403" s="26"/>
      <c r="P403" s="13"/>
      <c r="V403" s="115"/>
      <c r="W403" s="115"/>
      <c r="X403" s="115"/>
      <c r="Y403" s="115"/>
      <c r="Z403" s="25">
        <v>45692</v>
      </c>
      <c r="AA403" s="15" t="s">
        <v>146</v>
      </c>
      <c r="AF403" s="117"/>
      <c r="AG403" s="123"/>
      <c r="AH403" s="123"/>
      <c r="AI403" s="123"/>
      <c r="AK403" s="115"/>
      <c r="AL403" s="115"/>
      <c r="AM403" s="115"/>
      <c r="AN403" s="115"/>
      <c r="AO403" s="115"/>
      <c r="AP403" s="115"/>
      <c r="AQ403" s="115"/>
      <c r="AR403" s="115"/>
      <c r="AS403" s="115"/>
      <c r="AT403" s="115"/>
      <c r="AU403" s="115"/>
      <c r="AV403" s="115"/>
      <c r="AW403" s="115"/>
      <c r="AX403" s="25"/>
      <c r="AY403" s="13"/>
      <c r="BB403" s="114"/>
    </row>
    <row r="404" spans="1:54" ht="19.5" x14ac:dyDescent="0.4">
      <c r="A404" s="117"/>
      <c r="B404" s="123"/>
      <c r="C404" s="123"/>
      <c r="D404" s="123"/>
      <c r="O404" s="26"/>
      <c r="P404" s="13"/>
      <c r="R404" s="115"/>
      <c r="S404" s="115"/>
      <c r="T404" s="115"/>
      <c r="U404" s="115"/>
      <c r="V404" s="115"/>
      <c r="W404" s="115"/>
      <c r="X404" s="115"/>
      <c r="Y404" s="115"/>
      <c r="Z404" s="25">
        <v>45692</v>
      </c>
      <c r="AA404" s="15" t="s">
        <v>146</v>
      </c>
      <c r="AF404" s="117"/>
      <c r="AG404" s="123"/>
      <c r="AH404" s="123"/>
      <c r="AI404" s="123"/>
      <c r="AK404" s="115"/>
      <c r="AL404" s="115"/>
      <c r="AM404" s="115"/>
      <c r="AN404" s="115"/>
      <c r="AO404" s="115"/>
      <c r="AP404" s="115"/>
      <c r="AQ404" s="115"/>
      <c r="AR404" s="115"/>
      <c r="AS404" s="115"/>
      <c r="AT404" s="115"/>
      <c r="AU404" s="115"/>
      <c r="AV404" s="115"/>
      <c r="AW404" s="115"/>
      <c r="AX404" s="25"/>
      <c r="AY404" s="13"/>
      <c r="BB404" s="114"/>
    </row>
    <row r="405" spans="1:54" ht="19.5" x14ac:dyDescent="0.4">
      <c r="A405" s="117"/>
      <c r="B405" s="123"/>
      <c r="C405" s="123"/>
      <c r="D405" s="123"/>
      <c r="H405" s="115"/>
      <c r="I405" s="115"/>
      <c r="J405" s="115"/>
      <c r="K405" s="115"/>
      <c r="L405" s="115"/>
      <c r="M405" s="115"/>
      <c r="N405" s="115"/>
      <c r="O405" s="26"/>
      <c r="P405" s="13"/>
      <c r="R405" s="115"/>
      <c r="S405" s="115"/>
      <c r="T405" s="115"/>
      <c r="U405" s="115"/>
      <c r="V405" s="115"/>
      <c r="W405" s="115"/>
      <c r="X405" s="115"/>
      <c r="Y405" s="115"/>
      <c r="Z405" s="25"/>
      <c r="AA405" s="15"/>
      <c r="AF405" s="117"/>
      <c r="AG405" s="123"/>
      <c r="AH405" s="123"/>
      <c r="AI405" s="123"/>
      <c r="AK405" s="115"/>
      <c r="AL405" s="115"/>
      <c r="AM405" s="115"/>
      <c r="AN405" s="115"/>
      <c r="AO405" s="115"/>
      <c r="AP405" s="115"/>
      <c r="AQ405" s="115"/>
      <c r="AR405" s="115"/>
      <c r="AS405" s="115"/>
      <c r="AT405" s="115"/>
      <c r="AU405" s="115"/>
      <c r="AV405" s="115"/>
      <c r="AW405" s="115"/>
      <c r="AX405" s="25"/>
      <c r="AY405" s="13"/>
      <c r="BB405" s="114"/>
    </row>
    <row r="406" spans="1:54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115"/>
      <c r="O406" s="129"/>
      <c r="P406" s="13"/>
      <c r="R406" s="115"/>
      <c r="S406" s="115"/>
      <c r="T406" s="115"/>
      <c r="U406" s="115"/>
      <c r="V406" s="115"/>
      <c r="W406" s="115"/>
      <c r="X406" s="115"/>
      <c r="Y406" s="115"/>
      <c r="Z406" s="25"/>
      <c r="AA406" s="15"/>
      <c r="AF406" s="117"/>
      <c r="AG406" s="123"/>
      <c r="AH406" s="123"/>
      <c r="AI406" s="123"/>
      <c r="AK406" s="115"/>
      <c r="AL406" s="115"/>
      <c r="AM406" s="115"/>
      <c r="AN406" s="115"/>
      <c r="AO406" s="115"/>
      <c r="AP406" s="115"/>
      <c r="AQ406" s="115"/>
      <c r="AR406" s="115"/>
      <c r="AS406" s="115"/>
      <c r="AT406" s="115"/>
      <c r="AU406" s="115"/>
      <c r="AV406" s="115"/>
      <c r="AW406" s="115"/>
      <c r="AX406" s="25"/>
      <c r="AY406" s="13"/>
      <c r="BB406" s="114"/>
    </row>
    <row r="407" spans="1:54" ht="19.5" x14ac:dyDescent="0.4">
      <c r="A407" s="117"/>
      <c r="B407" s="123"/>
      <c r="C407" s="123"/>
      <c r="D407" s="123"/>
      <c r="O407" s="26"/>
      <c r="P407" s="13"/>
      <c r="Q407" s="115"/>
      <c r="R407" s="115"/>
      <c r="S407" s="115"/>
      <c r="T407" s="115"/>
      <c r="U407" s="115"/>
      <c r="V407" s="115"/>
      <c r="W407" s="115"/>
      <c r="X407" s="115"/>
      <c r="Y407" s="115"/>
      <c r="Z407" s="25">
        <v>45693</v>
      </c>
      <c r="AA407" s="15" t="s">
        <v>146</v>
      </c>
      <c r="AF407" s="117"/>
      <c r="AG407" s="123"/>
      <c r="AH407" s="123"/>
      <c r="AI407" s="123"/>
      <c r="AK407" s="115"/>
      <c r="AL407" s="115"/>
      <c r="AM407" s="115"/>
      <c r="AN407" s="115"/>
      <c r="AO407" s="115"/>
      <c r="AP407" s="115"/>
      <c r="AQ407" s="115"/>
      <c r="AR407" s="115"/>
      <c r="AS407" s="115"/>
      <c r="AT407" s="115"/>
      <c r="AU407" s="115"/>
      <c r="AV407" s="115"/>
      <c r="AW407" s="115"/>
      <c r="AX407" s="25"/>
      <c r="AY407" s="13"/>
      <c r="BB407" s="114"/>
    </row>
    <row r="408" spans="1:54" ht="19.5" x14ac:dyDescent="0.4">
      <c r="A408" s="117"/>
      <c r="B408" s="123"/>
      <c r="C408" s="123"/>
      <c r="D408" s="123"/>
      <c r="O408" s="129"/>
      <c r="P408" s="13"/>
      <c r="Q408" s="115"/>
      <c r="R408" s="115"/>
      <c r="S408" s="115"/>
      <c r="T408" s="115"/>
      <c r="U408" s="115"/>
      <c r="V408" s="115"/>
      <c r="W408" s="115"/>
      <c r="X408" s="115"/>
      <c r="Y408" s="115"/>
      <c r="Z408" s="25"/>
      <c r="AA408" s="15"/>
      <c r="AF408" s="117"/>
      <c r="AG408" s="123"/>
      <c r="AH408" s="123"/>
      <c r="AI408" s="123"/>
      <c r="AK408" s="115"/>
      <c r="AL408" s="115"/>
      <c r="AM408" s="115"/>
      <c r="AN408" s="115"/>
      <c r="AO408" s="115"/>
      <c r="AP408" s="115"/>
      <c r="AQ408" s="115"/>
      <c r="AR408" s="115"/>
      <c r="AS408" s="115"/>
      <c r="AT408" s="115"/>
      <c r="AU408" s="115"/>
      <c r="AV408" s="115"/>
      <c r="AW408" s="115"/>
      <c r="AX408" s="25"/>
      <c r="AY408" s="13"/>
      <c r="BB408" s="114"/>
    </row>
    <row r="409" spans="1:54" ht="19.5" x14ac:dyDescent="0.4">
      <c r="A409" s="117"/>
      <c r="B409" s="123"/>
      <c r="C409" s="123"/>
      <c r="D409" s="123"/>
      <c r="H409" s="115"/>
      <c r="I409" s="115"/>
      <c r="J409" s="115"/>
      <c r="K409" s="115"/>
      <c r="L409" s="115"/>
      <c r="M409" s="115"/>
      <c r="N409" s="115"/>
      <c r="O409" s="26"/>
      <c r="P409" s="13"/>
      <c r="Q409" s="115"/>
      <c r="R409" s="115"/>
      <c r="S409" s="115"/>
      <c r="T409" s="115"/>
      <c r="U409" s="115"/>
      <c r="V409" s="115"/>
      <c r="W409" s="115"/>
      <c r="X409" s="115"/>
      <c r="Y409" s="115"/>
      <c r="Z409" s="25"/>
      <c r="AA409" s="15"/>
      <c r="AF409" s="117"/>
      <c r="AG409" s="123"/>
      <c r="AH409" s="123"/>
      <c r="AI409" s="123"/>
      <c r="AK409" s="115"/>
      <c r="AL409" s="115"/>
      <c r="AM409" s="115"/>
      <c r="AN409" s="115"/>
      <c r="AO409" s="115"/>
      <c r="AP409" s="115"/>
      <c r="AQ409" s="115"/>
      <c r="AR409" s="115"/>
      <c r="AS409" s="115"/>
      <c r="AT409" s="115"/>
      <c r="AU409" s="115"/>
      <c r="AV409" s="115"/>
      <c r="AW409" s="115"/>
      <c r="AX409" s="25"/>
      <c r="AY409" s="13"/>
      <c r="BB409" s="114"/>
    </row>
    <row r="410" spans="1:54" ht="19.5" x14ac:dyDescent="0.4">
      <c r="A410" s="117"/>
      <c r="B410" s="123"/>
      <c r="C410" s="123"/>
      <c r="D410" s="123"/>
      <c r="O410" s="26"/>
      <c r="P410" s="13"/>
      <c r="Z410" s="25">
        <v>45693</v>
      </c>
      <c r="AA410" s="15" t="s">
        <v>146</v>
      </c>
      <c r="AF410" s="117"/>
      <c r="AG410" s="123"/>
      <c r="AH410" s="123"/>
      <c r="AI410" s="123"/>
      <c r="AK410" s="115"/>
      <c r="AL410" s="115"/>
      <c r="AM410" s="115"/>
      <c r="AN410" s="115"/>
      <c r="AO410" s="115"/>
      <c r="AP410" s="115"/>
      <c r="AQ410" s="115"/>
      <c r="AR410" s="115"/>
      <c r="AS410" s="115"/>
      <c r="AT410" s="115"/>
      <c r="AU410" s="115"/>
      <c r="AV410" s="115"/>
      <c r="AW410" s="115" t="s">
        <v>157</v>
      </c>
      <c r="AX410" s="13">
        <f>SUBTOTAL(3,AX402:AX402)</f>
        <v>1</v>
      </c>
      <c r="AY410" s="13">
        <f>SUBTOTAL(3,AY402:AY402)</f>
        <v>1</v>
      </c>
      <c r="BB410" s="114"/>
    </row>
    <row r="411" spans="1:54" ht="19.5" x14ac:dyDescent="0.4">
      <c r="A411" s="117"/>
      <c r="B411" s="123"/>
      <c r="C411" s="123"/>
      <c r="D411" s="123"/>
      <c r="O411" s="26"/>
      <c r="P411" s="13"/>
      <c r="R411" s="115"/>
      <c r="S411" s="115"/>
      <c r="T411" s="115"/>
      <c r="U411" s="115"/>
      <c r="V411" s="115"/>
      <c r="W411" s="115"/>
      <c r="X411" s="115"/>
      <c r="Y411" s="115"/>
      <c r="Z411" s="25">
        <v>45693</v>
      </c>
      <c r="AA411" s="15" t="s">
        <v>146</v>
      </c>
      <c r="AF411" s="117"/>
      <c r="AG411" s="123"/>
      <c r="AH411" s="123"/>
      <c r="AI411" s="123"/>
      <c r="AK411" s="115"/>
      <c r="AL411" s="115"/>
      <c r="AM411" s="115"/>
      <c r="AN411" s="115"/>
      <c r="AO411" s="115"/>
      <c r="AP411" s="115"/>
      <c r="AQ411" s="115"/>
      <c r="AR411" s="115"/>
      <c r="AS411" s="115"/>
      <c r="AT411" s="115"/>
      <c r="AU411" s="115"/>
      <c r="AV411" s="115"/>
      <c r="AW411" s="115"/>
      <c r="AX411" s="13"/>
      <c r="AY411" s="13"/>
      <c r="BB411" s="114"/>
    </row>
    <row r="412" spans="1:54" ht="19.5" x14ac:dyDescent="0.4">
      <c r="A412" s="117"/>
      <c r="B412" s="123"/>
      <c r="C412" s="123"/>
      <c r="D412" s="123"/>
      <c r="O412" s="129"/>
      <c r="P412" s="13"/>
      <c r="R412" s="115"/>
      <c r="S412" s="115"/>
      <c r="T412" s="115"/>
      <c r="U412" s="115"/>
      <c r="V412" s="115"/>
      <c r="W412" s="115"/>
      <c r="X412" s="115"/>
      <c r="Y412" s="115"/>
      <c r="Z412" s="25"/>
      <c r="AA412" s="15"/>
      <c r="AF412" s="117"/>
      <c r="AG412" s="123"/>
      <c r="AH412" s="123"/>
      <c r="AI412" s="123"/>
      <c r="AK412" s="115"/>
      <c r="AL412" s="115"/>
      <c r="AM412" s="115"/>
      <c r="AN412" s="115"/>
      <c r="AO412" s="115"/>
      <c r="AP412" s="115"/>
      <c r="AQ412" s="115"/>
      <c r="AR412" s="115"/>
      <c r="AS412" s="115"/>
      <c r="AT412" s="115"/>
      <c r="AU412" s="115"/>
      <c r="AV412" s="115"/>
      <c r="AW412" s="115"/>
      <c r="AX412" s="13"/>
      <c r="AY412" s="13"/>
      <c r="BB412" s="114"/>
    </row>
    <row r="413" spans="1:54" ht="19.5" x14ac:dyDescent="0.4">
      <c r="A413" s="117"/>
      <c r="B413" s="123"/>
      <c r="C413" s="123"/>
      <c r="D413" s="123"/>
      <c r="O413" s="129"/>
      <c r="P413" s="13"/>
      <c r="R413" s="115"/>
      <c r="S413" s="115"/>
      <c r="T413" s="115"/>
      <c r="U413" s="115"/>
      <c r="V413" s="115"/>
      <c r="W413" s="115"/>
      <c r="X413" s="115"/>
      <c r="Y413" s="115"/>
      <c r="Z413" s="25"/>
      <c r="AA413" s="15"/>
      <c r="AF413" s="117"/>
      <c r="AG413" s="123"/>
      <c r="AH413" s="123"/>
      <c r="AI413" s="123"/>
      <c r="AK413" s="115"/>
      <c r="AL413" s="115"/>
      <c r="AM413" s="115"/>
      <c r="AN413" s="115"/>
      <c r="AO413" s="115"/>
      <c r="AP413" s="115"/>
      <c r="AQ413" s="115"/>
      <c r="AR413" s="115"/>
      <c r="AS413" s="115"/>
      <c r="AT413" s="115"/>
      <c r="AU413" s="115"/>
      <c r="AV413" s="115"/>
      <c r="AW413" s="115"/>
      <c r="AX413" s="13"/>
      <c r="AY413" s="13"/>
      <c r="BB413" s="114"/>
    </row>
    <row r="414" spans="1:54" ht="19.5" x14ac:dyDescent="0.4">
      <c r="A414" s="117"/>
      <c r="B414" s="123"/>
      <c r="C414" s="123"/>
      <c r="D414" s="123"/>
      <c r="O414" s="26"/>
      <c r="P414" s="13"/>
      <c r="R414" s="115"/>
      <c r="S414" s="115"/>
      <c r="T414" s="115"/>
      <c r="U414" s="115"/>
      <c r="V414" s="115"/>
      <c r="W414" s="115"/>
      <c r="X414" s="115"/>
      <c r="Y414" s="115"/>
      <c r="Z414" s="25">
        <v>45694</v>
      </c>
      <c r="AA414" s="15" t="s">
        <v>147</v>
      </c>
      <c r="AF414" s="117"/>
      <c r="AG414" s="123"/>
      <c r="AH414" s="123"/>
      <c r="AI414" s="123"/>
      <c r="AK414" s="115"/>
      <c r="AL414" s="115"/>
      <c r="AM414" s="115"/>
      <c r="AN414" s="115"/>
      <c r="AO414" s="115"/>
      <c r="AP414" s="115"/>
      <c r="AQ414" s="115"/>
      <c r="AR414" s="115"/>
      <c r="AS414" s="115"/>
      <c r="AT414" s="115"/>
      <c r="AU414" s="115"/>
      <c r="AV414" s="115"/>
      <c r="AW414" s="115"/>
      <c r="AX414" s="13"/>
      <c r="AY414" s="13"/>
      <c r="BB414" s="114"/>
    </row>
    <row r="415" spans="1:54" ht="19.5" x14ac:dyDescent="0.4">
      <c r="A415" s="117"/>
      <c r="B415" s="123"/>
      <c r="C415" s="123"/>
      <c r="D415" s="123"/>
      <c r="H415" s="115"/>
      <c r="I415" s="115"/>
      <c r="J415" s="115"/>
      <c r="K415" s="115"/>
      <c r="L415" s="115"/>
      <c r="M415" s="115"/>
      <c r="N415" s="115"/>
      <c r="O415" s="17"/>
      <c r="P415" s="13"/>
      <c r="R415" s="115"/>
      <c r="S415" s="115"/>
      <c r="T415" s="115"/>
      <c r="U415" s="115"/>
      <c r="V415" s="115"/>
      <c r="W415" s="115"/>
      <c r="X415" s="115"/>
      <c r="Y415" s="115"/>
      <c r="Z415" s="25"/>
      <c r="AA415" s="15"/>
      <c r="AF415" s="117"/>
      <c r="AG415" s="123"/>
      <c r="AH415" s="123"/>
      <c r="AI415" s="123"/>
      <c r="AK415" s="115"/>
      <c r="AL415" s="115"/>
      <c r="AM415" s="115"/>
      <c r="AN415" s="115"/>
      <c r="AO415" s="115"/>
      <c r="AP415" s="115"/>
      <c r="AQ415" s="115"/>
      <c r="AR415" s="115"/>
      <c r="AS415" s="115"/>
      <c r="AT415" s="115"/>
      <c r="AU415" s="115"/>
      <c r="AV415" s="115"/>
      <c r="AW415" s="115"/>
      <c r="AX415" s="13"/>
      <c r="AY415" s="13"/>
      <c r="BB415" s="114"/>
    </row>
    <row r="416" spans="1:54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115"/>
      <c r="O416" s="17"/>
      <c r="P416" s="13"/>
      <c r="R416" s="115"/>
      <c r="S416" s="115"/>
      <c r="T416" s="115"/>
      <c r="U416" s="115"/>
      <c r="V416" s="115"/>
      <c r="W416" s="115"/>
      <c r="X416" s="115"/>
      <c r="Y416" s="115"/>
      <c r="Z416" s="25"/>
      <c r="AA416" s="15"/>
      <c r="AF416" s="117"/>
      <c r="AG416" s="123"/>
      <c r="AH416" s="123"/>
      <c r="AI416" s="123"/>
      <c r="AK416" s="115"/>
      <c r="AL416" s="115"/>
      <c r="AM416" s="115"/>
      <c r="AN416" s="115"/>
      <c r="AO416" s="115"/>
      <c r="AP416" s="115"/>
      <c r="AQ416" s="115"/>
      <c r="AR416" s="115"/>
      <c r="AS416" s="115"/>
      <c r="AT416" s="115"/>
      <c r="AU416" s="115"/>
      <c r="AV416" s="115"/>
      <c r="AW416" s="115"/>
      <c r="AX416" s="13"/>
      <c r="AY416" s="13"/>
      <c r="BB416" s="114"/>
    </row>
    <row r="417" spans="1:54" ht="19.5" x14ac:dyDescent="0.4">
      <c r="A417" s="117"/>
      <c r="B417" s="123"/>
      <c r="C417" s="123"/>
      <c r="D417" s="123"/>
      <c r="O417" s="26"/>
      <c r="P417" s="13"/>
      <c r="R417" s="115"/>
      <c r="S417" s="115"/>
      <c r="T417" s="115"/>
      <c r="U417" s="115"/>
      <c r="V417" s="115"/>
      <c r="W417" s="115"/>
      <c r="X417" s="115"/>
      <c r="Y417" s="115"/>
      <c r="Z417" s="25">
        <v>45694</v>
      </c>
      <c r="AA417" s="105" t="s">
        <v>147</v>
      </c>
      <c r="AF417" s="117"/>
      <c r="AG417" s="123"/>
      <c r="AH417" s="123"/>
      <c r="AI417" s="123"/>
      <c r="AK417" s="115"/>
      <c r="AL417" s="115"/>
      <c r="AM417" s="115"/>
      <c r="AN417" s="115"/>
      <c r="AO417" s="115"/>
      <c r="AP417" s="115"/>
      <c r="AQ417" s="115"/>
      <c r="AR417" s="115"/>
      <c r="AS417" s="115"/>
      <c r="AT417" s="115"/>
      <c r="AU417" s="115"/>
      <c r="AV417" s="115"/>
      <c r="AW417" s="115"/>
      <c r="AX417" s="13"/>
      <c r="AY417" s="13"/>
      <c r="BB417" s="114"/>
    </row>
    <row r="418" spans="1:54" ht="19.5" x14ac:dyDescent="0.4">
      <c r="A418" s="117"/>
      <c r="B418" s="123"/>
      <c r="C418" s="123"/>
      <c r="D418" s="123"/>
      <c r="O418" s="26"/>
      <c r="P418" s="13"/>
      <c r="Q418" s="115"/>
      <c r="R418" s="115"/>
      <c r="S418" s="115"/>
      <c r="T418" s="115"/>
      <c r="U418" s="115"/>
      <c r="V418" s="115"/>
      <c r="W418" s="115"/>
      <c r="X418" s="115"/>
      <c r="Y418" s="115"/>
      <c r="Z418" s="25">
        <v>45694</v>
      </c>
      <c r="AA418" s="15" t="s">
        <v>147</v>
      </c>
      <c r="AF418" s="117"/>
      <c r="AG418" s="123"/>
      <c r="AH418" s="123"/>
      <c r="AI418" s="123"/>
      <c r="AK418" s="115"/>
      <c r="AL418" s="115"/>
      <c r="AM418" s="115"/>
      <c r="AN418" s="115"/>
      <c r="AO418" s="115"/>
      <c r="AP418" s="115"/>
      <c r="AQ418" s="115"/>
      <c r="AR418" s="115"/>
      <c r="AS418" s="115"/>
      <c r="AT418" s="115"/>
      <c r="AU418" s="115"/>
      <c r="AV418" s="115"/>
      <c r="AW418" s="115"/>
      <c r="AX418" s="13"/>
      <c r="AY418" s="13"/>
      <c r="BB418" s="114"/>
    </row>
    <row r="419" spans="1:54" ht="19.5" x14ac:dyDescent="0.4">
      <c r="A419" s="117"/>
      <c r="B419" s="123"/>
      <c r="C419" s="123"/>
      <c r="D419" s="123"/>
      <c r="O419" s="26"/>
      <c r="P419" s="13"/>
      <c r="Q419" s="115"/>
      <c r="R419" s="115"/>
      <c r="S419" s="115"/>
      <c r="T419" s="115"/>
      <c r="U419" s="115"/>
      <c r="V419" s="115"/>
      <c r="W419" s="115"/>
      <c r="X419" s="115"/>
      <c r="Y419" s="115"/>
      <c r="Z419" s="26">
        <v>45694</v>
      </c>
      <c r="AA419" s="15" t="s">
        <v>148</v>
      </c>
      <c r="AF419" s="117"/>
      <c r="AG419" s="123"/>
      <c r="AH419" s="123"/>
      <c r="AI419" s="123"/>
      <c r="AK419" s="115"/>
      <c r="AL419" s="115"/>
      <c r="AM419" s="115"/>
      <c r="AN419" s="115"/>
      <c r="AO419" s="115"/>
      <c r="AP419" s="115"/>
      <c r="AQ419" s="115"/>
      <c r="AR419" s="115"/>
      <c r="AS419" s="115"/>
      <c r="AT419" s="115"/>
      <c r="AU419" s="115"/>
      <c r="AV419" s="115"/>
      <c r="AW419" s="115"/>
      <c r="AX419" s="13"/>
      <c r="AY419" s="13"/>
      <c r="BB419" s="114"/>
    </row>
    <row r="420" spans="1:54" ht="19.5" x14ac:dyDescent="0.4">
      <c r="A420" s="117"/>
      <c r="B420" s="123"/>
      <c r="C420" s="123"/>
      <c r="D420" s="123"/>
      <c r="O420" s="26"/>
      <c r="P420" s="13"/>
      <c r="Z420" s="26">
        <v>45694</v>
      </c>
      <c r="AA420" s="13" t="s">
        <v>147</v>
      </c>
      <c r="AF420" s="117"/>
      <c r="AG420" s="123"/>
      <c r="AH420" s="123"/>
      <c r="AI420" s="123"/>
      <c r="AK420" s="115"/>
      <c r="AL420" s="115"/>
      <c r="AM420" s="115"/>
      <c r="AN420" s="115"/>
      <c r="AO420" s="115"/>
      <c r="AP420" s="115"/>
      <c r="AQ420" s="115"/>
      <c r="AR420" s="115"/>
      <c r="AS420" s="115"/>
      <c r="AT420" s="115"/>
      <c r="AU420" s="115"/>
      <c r="AV420" s="115"/>
      <c r="AW420" s="115"/>
      <c r="AX420" s="25">
        <v>45268</v>
      </c>
      <c r="AY420" s="13" t="s">
        <v>162</v>
      </c>
      <c r="BB420" s="114"/>
    </row>
    <row r="421" spans="1:54" ht="19.5" x14ac:dyDescent="0.4">
      <c r="A421" s="117"/>
      <c r="B421" s="123"/>
      <c r="C421" s="123"/>
      <c r="D421" s="123"/>
      <c r="O421" s="26"/>
      <c r="P421" s="13"/>
      <c r="R421" s="115"/>
      <c r="S421" s="115"/>
      <c r="T421" s="115"/>
      <c r="U421" s="115"/>
      <c r="V421" s="115"/>
      <c r="W421" s="115"/>
      <c r="X421" s="115"/>
      <c r="Y421" s="115"/>
      <c r="Z421" s="26">
        <v>45694</v>
      </c>
      <c r="AA421" s="13" t="s">
        <v>147</v>
      </c>
      <c r="AF421" s="117"/>
      <c r="AG421" s="123"/>
      <c r="AH421" s="123"/>
      <c r="AI421" s="123"/>
      <c r="AK421" s="115"/>
      <c r="AL421" s="115"/>
      <c r="AM421" s="115"/>
      <c r="AN421" s="115"/>
      <c r="AO421" s="115"/>
      <c r="AP421" s="115"/>
      <c r="AQ421" s="115"/>
      <c r="AR421" s="115"/>
      <c r="AS421" s="115"/>
      <c r="AT421" s="115"/>
      <c r="AU421" s="115"/>
      <c r="AV421" s="115"/>
      <c r="AW421" s="115"/>
      <c r="AX421" s="25"/>
      <c r="AY421" s="13"/>
      <c r="BB421" s="114"/>
    </row>
    <row r="422" spans="1:54" ht="19.5" x14ac:dyDescent="0.4">
      <c r="A422" s="117"/>
      <c r="B422" s="123"/>
      <c r="C422" s="123"/>
      <c r="D422" s="123"/>
      <c r="O422" s="26"/>
      <c r="P422" s="13"/>
      <c r="Z422" s="26">
        <v>45694</v>
      </c>
      <c r="AA422" s="13" t="s">
        <v>147</v>
      </c>
      <c r="AF422" s="117"/>
      <c r="AG422" s="123"/>
      <c r="AH422" s="123"/>
      <c r="AI422" s="123"/>
      <c r="AK422" s="115"/>
      <c r="AL422" s="115"/>
      <c r="AM422" s="115"/>
      <c r="AN422" s="115"/>
      <c r="AO422" s="115"/>
      <c r="AP422" s="115"/>
      <c r="AQ422" s="115"/>
      <c r="AR422" s="115"/>
      <c r="AS422" s="115"/>
      <c r="AT422" s="115"/>
      <c r="AU422" s="115"/>
      <c r="AV422" s="115"/>
      <c r="AW422" s="115"/>
      <c r="AX422" s="25">
        <v>45268</v>
      </c>
      <c r="AY422" s="13" t="s">
        <v>162</v>
      </c>
      <c r="BB422" s="114"/>
    </row>
    <row r="423" spans="1:54" ht="19.5" x14ac:dyDescent="0.4">
      <c r="A423" s="117"/>
      <c r="B423" s="123"/>
      <c r="C423" s="123"/>
      <c r="D423" s="123"/>
      <c r="O423" s="26"/>
      <c r="P423" s="13"/>
      <c r="W423" s="115"/>
      <c r="X423" s="115"/>
      <c r="Y423" s="115"/>
      <c r="Z423" s="26">
        <v>45696</v>
      </c>
      <c r="AA423" s="13" t="s">
        <v>147</v>
      </c>
      <c r="AF423" s="117"/>
      <c r="AG423" s="123"/>
      <c r="AH423" s="123"/>
      <c r="AI423" s="123"/>
      <c r="AK423" s="115"/>
      <c r="AL423" s="115"/>
      <c r="AM423" s="115"/>
      <c r="AN423" s="115"/>
      <c r="AO423" s="115"/>
      <c r="AP423" s="115"/>
      <c r="AQ423" s="115"/>
      <c r="AR423" s="115"/>
      <c r="AS423" s="115"/>
      <c r="AT423" s="115"/>
      <c r="AU423" s="115"/>
      <c r="AV423" s="115"/>
      <c r="AW423" s="115"/>
      <c r="AX423" s="25"/>
      <c r="AY423" s="13"/>
      <c r="BB423" s="114"/>
    </row>
    <row r="424" spans="1:54" ht="19.5" x14ac:dyDescent="0.4">
      <c r="A424" s="117"/>
      <c r="B424" s="123"/>
      <c r="C424" s="123"/>
      <c r="D424" s="123"/>
      <c r="O424" s="26"/>
      <c r="P424" s="13"/>
      <c r="Z424" s="26">
        <v>45698</v>
      </c>
      <c r="AA424" s="13" t="s">
        <v>147</v>
      </c>
      <c r="AF424" s="117"/>
      <c r="AG424" s="123"/>
      <c r="AH424" s="123"/>
      <c r="AI424" s="123"/>
      <c r="AK424" s="115"/>
      <c r="AL424" s="115"/>
      <c r="AM424" s="115"/>
      <c r="AN424" s="115"/>
      <c r="AO424" s="115"/>
      <c r="AP424" s="115"/>
      <c r="AQ424" s="115"/>
      <c r="AR424" s="115"/>
      <c r="AS424" s="115"/>
      <c r="AT424" s="115"/>
      <c r="AU424" s="115"/>
      <c r="AV424" s="115"/>
      <c r="AW424" s="115"/>
      <c r="AX424" s="25">
        <v>45268</v>
      </c>
      <c r="AY424" s="13" t="s">
        <v>163</v>
      </c>
      <c r="BB424" s="114"/>
    </row>
    <row r="425" spans="1:54" ht="19.5" x14ac:dyDescent="0.4">
      <c r="A425" s="117"/>
      <c r="B425" s="123"/>
      <c r="C425" s="123"/>
      <c r="D425" s="123"/>
      <c r="G425" s="115"/>
      <c r="H425" s="115"/>
      <c r="I425" s="115"/>
      <c r="J425" s="115"/>
      <c r="K425" s="115"/>
      <c r="L425" s="115"/>
      <c r="M425" s="115"/>
      <c r="N425" s="115"/>
      <c r="O425" s="17"/>
      <c r="P425" s="13"/>
      <c r="Z425" s="26"/>
      <c r="AA425" s="13"/>
      <c r="AF425" s="117"/>
      <c r="AG425" s="123"/>
      <c r="AH425" s="123"/>
      <c r="AI425" s="123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15"/>
      <c r="AU425" s="115"/>
      <c r="AV425" s="115"/>
      <c r="AW425" s="115"/>
      <c r="AX425" s="25"/>
      <c r="AY425" s="13"/>
      <c r="BB425" s="114"/>
    </row>
    <row r="426" spans="1:54" ht="19.5" x14ac:dyDescent="0.4">
      <c r="A426" s="117"/>
      <c r="B426" s="123"/>
      <c r="C426" s="123"/>
      <c r="D426" s="123"/>
      <c r="O426" s="26"/>
      <c r="P426" s="13"/>
      <c r="W426" s="115"/>
      <c r="X426" s="115"/>
      <c r="Y426" s="115"/>
      <c r="Z426" s="26">
        <v>45698</v>
      </c>
      <c r="AA426" s="13" t="s">
        <v>147</v>
      </c>
      <c r="AF426" s="117"/>
      <c r="AG426" s="123"/>
      <c r="AH426" s="123"/>
      <c r="AI426" s="123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15"/>
      <c r="AU426" s="115"/>
      <c r="AV426" s="115"/>
      <c r="AW426" s="115"/>
      <c r="AX426" s="25"/>
      <c r="AY426" s="13"/>
      <c r="BB426" s="114"/>
    </row>
    <row r="427" spans="1:54" ht="19.5" x14ac:dyDescent="0.4">
      <c r="A427" s="117"/>
      <c r="B427" s="123"/>
      <c r="C427" s="123"/>
      <c r="D427" s="123"/>
      <c r="O427" s="26"/>
      <c r="P427" s="13"/>
      <c r="Q427" s="115"/>
      <c r="R427" s="115"/>
      <c r="S427" s="115"/>
      <c r="T427" s="115"/>
      <c r="U427" s="115"/>
      <c r="V427" s="115"/>
      <c r="W427" s="115"/>
      <c r="X427" s="115"/>
      <c r="Y427" s="115"/>
      <c r="Z427" s="26">
        <v>45699</v>
      </c>
      <c r="AA427" s="13" t="s">
        <v>148</v>
      </c>
      <c r="AF427" s="117"/>
      <c r="AG427" s="123"/>
      <c r="AH427" s="123"/>
      <c r="AI427" s="123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15"/>
      <c r="AU427" s="115"/>
      <c r="AV427" s="115"/>
      <c r="AW427" s="115"/>
      <c r="AX427" s="25"/>
      <c r="AY427" s="13"/>
      <c r="BB427" s="114"/>
    </row>
    <row r="428" spans="1:54" ht="19.5" x14ac:dyDescent="0.4">
      <c r="A428" s="117"/>
      <c r="B428" s="123"/>
      <c r="C428" s="123"/>
      <c r="D428" s="123"/>
      <c r="G428" s="115"/>
      <c r="H428" s="115"/>
      <c r="I428" s="115"/>
      <c r="J428" s="115"/>
      <c r="K428" s="115"/>
      <c r="L428" s="115"/>
      <c r="M428" s="115"/>
      <c r="N428" s="115"/>
      <c r="O428" s="17"/>
      <c r="P428" s="13"/>
      <c r="Q428" s="115"/>
      <c r="R428" s="115"/>
      <c r="S428" s="115"/>
      <c r="T428" s="115"/>
      <c r="U428" s="115"/>
      <c r="V428" s="115"/>
      <c r="W428" s="115"/>
      <c r="X428" s="115"/>
      <c r="Y428" s="115"/>
      <c r="Z428" s="26"/>
      <c r="AA428" s="13"/>
      <c r="AF428" s="117"/>
      <c r="AG428" s="123"/>
      <c r="AH428" s="123"/>
      <c r="AI428" s="123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15"/>
      <c r="AU428" s="115"/>
      <c r="AV428" s="115"/>
      <c r="AW428" s="115"/>
      <c r="AX428" s="25"/>
      <c r="AY428" s="13"/>
      <c r="BB428" s="114"/>
    </row>
    <row r="429" spans="1:54" ht="19.5" x14ac:dyDescent="0.4">
      <c r="A429" s="117"/>
      <c r="B429" s="123"/>
      <c r="C429" s="123"/>
      <c r="D429" s="123"/>
      <c r="O429" s="26"/>
      <c r="P429" s="13"/>
      <c r="Z429" s="26">
        <v>45699</v>
      </c>
      <c r="AA429" s="13" t="s">
        <v>148</v>
      </c>
      <c r="AF429" s="117"/>
      <c r="AG429" s="123"/>
      <c r="AH429" s="123"/>
      <c r="AI429" s="123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15"/>
      <c r="AU429" s="115"/>
      <c r="AV429" s="115"/>
      <c r="AW429" s="115"/>
      <c r="AX429" s="25">
        <v>45268</v>
      </c>
      <c r="AY429" s="13" t="s">
        <v>163</v>
      </c>
      <c r="BB429" s="114"/>
    </row>
    <row r="430" spans="1:54" ht="19.5" x14ac:dyDescent="0.4">
      <c r="A430" s="117"/>
      <c r="B430" s="123"/>
      <c r="C430" s="123"/>
      <c r="D430" s="123"/>
      <c r="G430" s="115"/>
      <c r="H430" s="115"/>
      <c r="I430" s="115"/>
      <c r="J430" s="115"/>
      <c r="K430" s="115"/>
      <c r="L430" s="115"/>
      <c r="M430" s="115"/>
      <c r="N430" s="115"/>
      <c r="O430" s="17"/>
      <c r="P430" s="13"/>
      <c r="Z430" s="26"/>
      <c r="AA430" s="13"/>
      <c r="AF430" s="117"/>
      <c r="AG430" s="123"/>
      <c r="AH430" s="123"/>
      <c r="AI430" s="123"/>
      <c r="AJ430" s="115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15"/>
      <c r="AU430" s="115"/>
      <c r="AV430" s="115"/>
      <c r="AW430" s="115"/>
      <c r="AX430" s="25"/>
      <c r="AY430" s="13"/>
      <c r="BB430" s="114"/>
    </row>
    <row r="431" spans="1:54" ht="19.5" x14ac:dyDescent="0.4">
      <c r="A431" s="117"/>
      <c r="B431" s="123"/>
      <c r="C431" s="123"/>
      <c r="D431" s="123"/>
      <c r="O431" s="26"/>
      <c r="P431" s="13"/>
      <c r="S431" s="115"/>
      <c r="T431" s="115"/>
      <c r="U431" s="115"/>
      <c r="V431" s="115"/>
      <c r="W431" s="115"/>
      <c r="X431" s="115"/>
      <c r="Y431" s="115"/>
      <c r="Z431" s="26">
        <v>45699</v>
      </c>
      <c r="AA431" s="13" t="s">
        <v>148</v>
      </c>
      <c r="AF431" s="117"/>
      <c r="AG431" s="123"/>
      <c r="AH431" s="123"/>
      <c r="AI431" s="123"/>
      <c r="AJ431" s="115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15"/>
      <c r="AU431" s="115"/>
      <c r="AV431" s="115"/>
      <c r="AW431" s="115"/>
      <c r="AX431" s="25"/>
      <c r="AY431" s="13"/>
      <c r="BB431" s="114"/>
    </row>
    <row r="432" spans="1:54" ht="19.5" x14ac:dyDescent="0.4">
      <c r="A432" s="117"/>
      <c r="B432" s="123"/>
      <c r="C432" s="123"/>
      <c r="D432" s="123"/>
      <c r="O432" s="26"/>
      <c r="P432" s="13"/>
      <c r="S432" s="115"/>
      <c r="T432" s="115"/>
      <c r="U432" s="115"/>
      <c r="V432" s="115"/>
      <c r="W432" s="115"/>
      <c r="X432" s="115"/>
      <c r="Y432" s="115"/>
      <c r="Z432" s="26">
        <v>45699</v>
      </c>
      <c r="AA432" s="13" t="s">
        <v>148</v>
      </c>
      <c r="AF432" s="117"/>
      <c r="AG432" s="123"/>
      <c r="AH432" s="123"/>
      <c r="AI432" s="123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15"/>
      <c r="AU432" s="115"/>
      <c r="AV432" s="115"/>
      <c r="AW432" s="115"/>
      <c r="AX432" s="25"/>
      <c r="AY432" s="13"/>
      <c r="BB432" s="114"/>
    </row>
    <row r="433" spans="1:54" ht="19.5" x14ac:dyDescent="0.4">
      <c r="A433" s="117"/>
      <c r="B433" s="123"/>
      <c r="C433" s="123"/>
      <c r="D433" s="123"/>
      <c r="O433" s="26"/>
      <c r="P433" s="13"/>
      <c r="S433" s="115"/>
      <c r="T433" s="115"/>
      <c r="U433" s="115"/>
      <c r="V433" s="115"/>
      <c r="W433" s="115"/>
      <c r="X433" s="115"/>
      <c r="Y433" s="115"/>
      <c r="Z433" s="26">
        <v>45699</v>
      </c>
      <c r="AA433" s="13" t="s">
        <v>148</v>
      </c>
      <c r="AF433" s="117"/>
      <c r="AG433" s="123"/>
      <c r="AH433" s="123"/>
      <c r="AI433" s="123"/>
      <c r="AJ433" s="115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115"/>
      <c r="AU433" s="115"/>
      <c r="AV433" s="115"/>
      <c r="AW433" s="115"/>
      <c r="AX433" s="25"/>
      <c r="AY433" s="13"/>
      <c r="BB433" s="114"/>
    </row>
    <row r="434" spans="1:54" ht="19.5" x14ac:dyDescent="0.4">
      <c r="A434" s="117"/>
      <c r="B434" s="123"/>
      <c r="C434" s="123"/>
      <c r="D434" s="123"/>
      <c r="O434" s="26"/>
      <c r="P434" s="13"/>
      <c r="Z434" s="26">
        <v>45699</v>
      </c>
      <c r="AA434" s="13" t="s">
        <v>148</v>
      </c>
      <c r="AF434" s="117"/>
      <c r="AG434" s="123"/>
      <c r="AH434" s="123"/>
      <c r="AI434" s="123"/>
      <c r="AJ434" s="115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15"/>
      <c r="AU434" s="115"/>
      <c r="AV434" s="115"/>
      <c r="AW434" s="115" t="s">
        <v>158</v>
      </c>
      <c r="AX434" s="13">
        <f>SUBTOTAL(3,AX420:AX429)</f>
        <v>4</v>
      </c>
      <c r="AY434" s="13">
        <f>SUBTOTAL(3,AY420:AY429)</f>
        <v>4</v>
      </c>
      <c r="BB434" s="114"/>
    </row>
    <row r="435" spans="1:54" ht="19.5" x14ac:dyDescent="0.4">
      <c r="A435" s="117"/>
      <c r="B435" s="123"/>
      <c r="C435" s="123"/>
      <c r="D435" s="123"/>
      <c r="O435" s="26"/>
      <c r="P435" s="15"/>
      <c r="W435" s="115"/>
      <c r="X435" s="115"/>
      <c r="Y435" s="115"/>
      <c r="Z435" s="26">
        <v>45706</v>
      </c>
      <c r="AA435" s="13" t="s">
        <v>146</v>
      </c>
      <c r="AF435" s="117"/>
      <c r="AG435" s="123"/>
      <c r="AH435" s="123"/>
      <c r="AI435" s="123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15"/>
      <c r="AU435" s="115"/>
      <c r="AV435" s="115"/>
      <c r="AW435" s="115"/>
      <c r="AX435" s="13"/>
      <c r="AY435" s="13"/>
      <c r="BB435" s="114"/>
    </row>
    <row r="436" spans="1:54" ht="19.5" x14ac:dyDescent="0.4">
      <c r="A436" s="117"/>
      <c r="B436" s="123"/>
      <c r="C436" s="123"/>
      <c r="D436" s="123"/>
      <c r="O436" s="26"/>
      <c r="P436" s="13"/>
      <c r="V436" s="115"/>
      <c r="W436" s="115"/>
      <c r="X436" s="115"/>
      <c r="Y436" s="115"/>
      <c r="Z436" s="26">
        <v>45709</v>
      </c>
      <c r="AA436" s="13" t="s">
        <v>148</v>
      </c>
      <c r="AF436" s="117"/>
      <c r="AG436" s="123"/>
      <c r="AH436" s="123"/>
      <c r="AI436" s="123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15"/>
      <c r="AU436" s="115"/>
      <c r="AV436" s="115"/>
      <c r="AW436" s="115"/>
      <c r="AX436" s="13"/>
      <c r="AY436" s="13"/>
      <c r="BB436" s="114"/>
    </row>
    <row r="437" spans="1:54" ht="19.5" x14ac:dyDescent="0.4">
      <c r="A437" s="117"/>
      <c r="B437" s="123"/>
      <c r="C437" s="123"/>
      <c r="D437" s="123"/>
      <c r="G437" s="115"/>
      <c r="H437" s="115"/>
      <c r="I437" s="115"/>
      <c r="J437" s="115"/>
      <c r="K437" s="115"/>
      <c r="L437" s="115"/>
      <c r="M437" s="115"/>
      <c r="N437" s="115"/>
      <c r="O437" s="17"/>
      <c r="P437" s="13"/>
      <c r="V437" s="115"/>
      <c r="W437" s="115"/>
      <c r="X437" s="115"/>
      <c r="Y437" s="115"/>
      <c r="Z437" s="26"/>
      <c r="AA437" s="13"/>
      <c r="AF437" s="117"/>
      <c r="AG437" s="123"/>
      <c r="AH437" s="123"/>
      <c r="AI437" s="123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15"/>
      <c r="AU437" s="115"/>
      <c r="AV437" s="115"/>
      <c r="AW437" s="115"/>
      <c r="AX437" s="13"/>
      <c r="AY437" s="13"/>
      <c r="BB437" s="114"/>
    </row>
    <row r="438" spans="1:54" ht="19.5" x14ac:dyDescent="0.4">
      <c r="A438" s="117"/>
      <c r="B438" s="123"/>
      <c r="C438" s="123"/>
      <c r="D438" s="123"/>
      <c r="O438" s="26"/>
      <c r="P438" s="13"/>
      <c r="V438" s="115"/>
      <c r="W438" s="115"/>
      <c r="X438" s="115"/>
      <c r="Y438" s="115"/>
      <c r="Z438" s="26">
        <v>45709</v>
      </c>
      <c r="AA438" s="13" t="s">
        <v>147</v>
      </c>
      <c r="AF438" s="117"/>
      <c r="AG438" s="123"/>
      <c r="AH438" s="123"/>
      <c r="AI438" s="123"/>
      <c r="AJ438" s="115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15"/>
      <c r="AU438" s="115"/>
      <c r="AV438" s="115"/>
      <c r="AW438" s="115"/>
      <c r="AX438" s="13"/>
      <c r="AY438" s="13"/>
      <c r="BB438" s="114"/>
    </row>
    <row r="439" spans="1:54" ht="19.5" x14ac:dyDescent="0.4">
      <c r="A439" s="117"/>
      <c r="B439" s="123"/>
      <c r="C439" s="123"/>
      <c r="D439" s="123"/>
      <c r="G439" s="115"/>
      <c r="H439" s="115"/>
      <c r="I439" s="115"/>
      <c r="J439" s="115"/>
      <c r="K439" s="115"/>
      <c r="L439" s="115"/>
      <c r="M439" s="115"/>
      <c r="N439" s="115"/>
      <c r="O439" s="17"/>
      <c r="P439" s="13"/>
      <c r="V439" s="115"/>
      <c r="W439" s="115"/>
      <c r="X439" s="115"/>
      <c r="Y439" s="115"/>
      <c r="Z439" s="26"/>
      <c r="AA439" s="13"/>
      <c r="AF439" s="117"/>
      <c r="AG439" s="123"/>
      <c r="AH439" s="123"/>
      <c r="AI439" s="123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15"/>
      <c r="AU439" s="115"/>
      <c r="AV439" s="115"/>
      <c r="AW439" s="115"/>
      <c r="AX439" s="13"/>
      <c r="AY439" s="13"/>
      <c r="BB439" s="114"/>
    </row>
    <row r="440" spans="1:54" ht="19.5" x14ac:dyDescent="0.4">
      <c r="A440" s="117"/>
      <c r="B440" s="123"/>
      <c r="C440" s="123"/>
      <c r="D440" s="123"/>
      <c r="O440" s="26"/>
      <c r="P440" s="13"/>
      <c r="V440" s="115"/>
      <c r="W440" s="115"/>
      <c r="X440" s="115"/>
      <c r="Y440" s="115"/>
      <c r="Z440" s="26">
        <v>45712</v>
      </c>
      <c r="AA440" s="13" t="s">
        <v>146</v>
      </c>
      <c r="AF440" s="117"/>
      <c r="AG440" s="123"/>
      <c r="AH440" s="123"/>
      <c r="AI440" s="123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15"/>
      <c r="AU440" s="115"/>
      <c r="AV440" s="115"/>
      <c r="AW440" s="115"/>
      <c r="AX440" s="13"/>
      <c r="AY440" s="13"/>
      <c r="BB440" s="114"/>
    </row>
    <row r="441" spans="1:54" ht="19.5" x14ac:dyDescent="0.4">
      <c r="A441" s="117"/>
      <c r="B441" s="123"/>
      <c r="C441" s="123"/>
      <c r="D441" s="123"/>
      <c r="O441" s="26"/>
      <c r="P441" s="13"/>
      <c r="V441" s="115"/>
      <c r="W441" s="115"/>
      <c r="X441" s="115"/>
      <c r="Y441" s="115"/>
      <c r="Z441" s="26">
        <v>45712</v>
      </c>
      <c r="AA441" s="13" t="s">
        <v>148</v>
      </c>
      <c r="AF441" s="117"/>
      <c r="AG441" s="123"/>
      <c r="AH441" s="123"/>
      <c r="AI441" s="123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15"/>
      <c r="AU441" s="115"/>
      <c r="AV441" s="115"/>
      <c r="AW441" s="115"/>
      <c r="AX441" s="13"/>
      <c r="AY441" s="13"/>
      <c r="BB441" s="114"/>
    </row>
    <row r="442" spans="1:54" ht="19.5" x14ac:dyDescent="0.4">
      <c r="A442" s="117"/>
      <c r="B442" s="123"/>
      <c r="C442" s="123"/>
      <c r="D442" s="123"/>
      <c r="G442" s="115"/>
      <c r="H442" s="115"/>
      <c r="I442" s="115"/>
      <c r="J442" s="115"/>
      <c r="K442" s="115"/>
      <c r="L442" s="115"/>
      <c r="M442" s="115"/>
      <c r="N442" s="115"/>
      <c r="O442" s="17"/>
      <c r="P442" s="13"/>
      <c r="V442" s="115"/>
      <c r="W442" s="115"/>
      <c r="X442" s="115"/>
      <c r="Y442" s="115"/>
      <c r="Z442" s="26"/>
      <c r="AA442" s="13"/>
      <c r="AF442" s="117"/>
      <c r="AG442" s="123"/>
      <c r="AH442" s="123"/>
      <c r="AI442" s="123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15"/>
      <c r="AU442" s="115"/>
      <c r="AV442" s="115"/>
      <c r="AW442" s="115"/>
      <c r="AX442" s="13"/>
      <c r="AY442" s="13"/>
      <c r="BB442" s="114"/>
    </row>
    <row r="443" spans="1:54" ht="19.5" x14ac:dyDescent="0.4">
      <c r="A443" s="117"/>
      <c r="B443" s="123"/>
      <c r="C443" s="123"/>
      <c r="D443" s="123"/>
      <c r="O443" s="26"/>
      <c r="P443" s="13"/>
      <c r="T443" s="115"/>
      <c r="U443" s="115"/>
      <c r="V443" s="115"/>
      <c r="W443" s="115"/>
      <c r="X443" s="115"/>
      <c r="Y443" s="115"/>
      <c r="Z443" s="26">
        <v>45714</v>
      </c>
      <c r="AA443" s="13" t="s">
        <v>147</v>
      </c>
      <c r="AF443" s="117"/>
      <c r="AG443" s="123"/>
      <c r="AH443" s="123"/>
      <c r="AI443" s="123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15"/>
      <c r="AU443" s="115"/>
      <c r="AV443" s="115"/>
      <c r="AW443" s="115"/>
      <c r="AX443" s="13"/>
      <c r="AY443" s="13"/>
      <c r="BB443" s="114"/>
    </row>
    <row r="444" spans="1:54" ht="19.5" x14ac:dyDescent="0.4">
      <c r="A444" s="117"/>
      <c r="B444" s="123"/>
      <c r="C444" s="123"/>
      <c r="D444" s="123"/>
      <c r="O444" s="26"/>
      <c r="P444" s="13"/>
      <c r="Z444" s="26">
        <v>45714</v>
      </c>
      <c r="AA444" s="13" t="s">
        <v>147</v>
      </c>
      <c r="AF444" s="117"/>
      <c r="AG444" s="123"/>
      <c r="AH444" s="123"/>
      <c r="AI444" s="123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15"/>
      <c r="AU444" s="115"/>
      <c r="AV444" s="115"/>
      <c r="AW444" s="115"/>
      <c r="AX444" s="25">
        <v>45269</v>
      </c>
      <c r="AY444" s="13" t="s">
        <v>163</v>
      </c>
      <c r="BB444" s="114"/>
    </row>
    <row r="445" spans="1:54" ht="19.5" x14ac:dyDescent="0.4">
      <c r="A445" s="117"/>
      <c r="B445" s="123"/>
      <c r="C445" s="123"/>
      <c r="D445" s="123"/>
      <c r="O445" s="26"/>
      <c r="P445" s="13"/>
      <c r="Q445" s="115"/>
      <c r="R445" s="115"/>
      <c r="S445" s="115"/>
      <c r="T445" s="115"/>
      <c r="U445" s="115"/>
      <c r="V445" s="115"/>
      <c r="W445" s="115"/>
      <c r="X445" s="115"/>
      <c r="Y445" s="115"/>
      <c r="Z445" s="26">
        <v>45714</v>
      </c>
      <c r="AA445" s="13" t="s">
        <v>147</v>
      </c>
      <c r="AF445" s="117"/>
      <c r="AG445" s="123"/>
      <c r="AH445" s="123"/>
      <c r="AI445" s="123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15"/>
      <c r="AU445" s="115"/>
      <c r="AV445" s="115"/>
      <c r="AW445" s="115"/>
      <c r="AX445" s="25"/>
      <c r="AY445" s="13"/>
      <c r="BB445" s="114"/>
    </row>
    <row r="446" spans="1:54" ht="19.5" x14ac:dyDescent="0.4">
      <c r="A446" s="117"/>
      <c r="B446" s="123"/>
      <c r="C446" s="123"/>
      <c r="D446" s="123"/>
      <c r="O446" s="26"/>
      <c r="P446" s="13"/>
      <c r="Q446" s="115"/>
      <c r="R446" s="115"/>
      <c r="S446" s="115"/>
      <c r="T446" s="115"/>
      <c r="U446" s="115"/>
      <c r="V446" s="115"/>
      <c r="W446" s="115"/>
      <c r="X446" s="115" t="s">
        <v>145</v>
      </c>
      <c r="Y446" s="115">
        <f>SUBTOTAL(3,Y2:Y445)</f>
        <v>0</v>
      </c>
      <c r="Z446" s="26"/>
      <c r="AA446" s="13">
        <f>SUBTOTAL(3,AA2:AA445)</f>
        <v>145</v>
      </c>
      <c r="AF446" s="117"/>
      <c r="AG446" s="123"/>
      <c r="AH446" s="123"/>
      <c r="AI446" s="123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15"/>
      <c r="AU446" s="115"/>
      <c r="AV446" s="115"/>
      <c r="AW446" s="115"/>
      <c r="AX446" s="25"/>
      <c r="AY446" s="13"/>
      <c r="BB446" s="114"/>
    </row>
    <row r="447" spans="1:54" ht="19.5" x14ac:dyDescent="0.4">
      <c r="A447" s="117"/>
      <c r="B447" s="123"/>
      <c r="C447" s="123"/>
      <c r="D447" s="123"/>
      <c r="O447" s="26"/>
      <c r="P447" s="13"/>
      <c r="Z447" s="26"/>
      <c r="AA447" s="13"/>
      <c r="AF447" s="117"/>
      <c r="AG447" s="123"/>
      <c r="AH447" s="123"/>
      <c r="AI447" s="123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15"/>
      <c r="AU447" s="115"/>
      <c r="AV447" s="115"/>
      <c r="AW447" s="115"/>
      <c r="AX447" s="25">
        <v>45269</v>
      </c>
      <c r="AY447" s="13" t="s">
        <v>163</v>
      </c>
      <c r="BB447" s="114"/>
    </row>
    <row r="448" spans="1:54" ht="19.5" x14ac:dyDescent="0.4">
      <c r="A448" s="117"/>
      <c r="B448" s="123"/>
      <c r="C448" s="123"/>
      <c r="D448" s="123"/>
      <c r="O448" s="26"/>
      <c r="P448" s="13"/>
      <c r="S448" s="115"/>
      <c r="T448" s="115"/>
      <c r="U448" s="115"/>
      <c r="V448" s="115"/>
      <c r="W448" s="115"/>
      <c r="X448" s="115"/>
      <c r="Y448" s="115"/>
      <c r="Z448" s="26"/>
      <c r="AA448" s="13"/>
      <c r="AF448" s="117"/>
      <c r="AG448" s="123"/>
      <c r="AH448" s="123"/>
      <c r="AI448" s="123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15"/>
      <c r="AU448" s="115"/>
      <c r="AV448" s="115"/>
      <c r="AW448" s="115"/>
      <c r="AX448" s="25"/>
      <c r="AY448" s="13"/>
      <c r="BB448" s="114"/>
    </row>
    <row r="449" spans="1:54" ht="19.5" x14ac:dyDescent="0.4">
      <c r="A449" s="117"/>
      <c r="B449" s="123"/>
      <c r="C449" s="123"/>
      <c r="D449" s="123"/>
      <c r="O449" s="26"/>
      <c r="P449" s="13"/>
      <c r="Z449" s="26"/>
      <c r="AA449" s="13"/>
      <c r="AF449" s="117"/>
      <c r="AG449" s="123"/>
      <c r="AH449" s="123"/>
      <c r="AI449" s="123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15"/>
      <c r="AU449" s="115"/>
      <c r="AV449" s="115"/>
      <c r="AW449" s="115" t="s">
        <v>159</v>
      </c>
      <c r="AX449" s="13">
        <f>SUBTOTAL(3,AX444:AX447)</f>
        <v>2</v>
      </c>
      <c r="AY449" s="13">
        <f>SUBTOTAL(3,AY444:AY447)</f>
        <v>2</v>
      </c>
      <c r="BB449" s="114"/>
    </row>
    <row r="450" spans="1:54" ht="19.5" x14ac:dyDescent="0.4">
      <c r="A450" s="117"/>
      <c r="B450" s="123"/>
      <c r="C450" s="123"/>
      <c r="D450" s="123"/>
      <c r="O450" s="26"/>
      <c r="P450" s="13"/>
      <c r="Q450" s="115"/>
      <c r="R450" s="115"/>
      <c r="S450" s="115"/>
      <c r="T450" s="115"/>
      <c r="U450" s="115"/>
      <c r="V450" s="115"/>
      <c r="W450" s="115"/>
      <c r="X450" s="115"/>
      <c r="Y450" s="115"/>
      <c r="Z450" s="26"/>
      <c r="AA450" s="13"/>
      <c r="AF450" s="117"/>
      <c r="AG450" s="123"/>
      <c r="AH450" s="123"/>
      <c r="AI450" s="123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115"/>
      <c r="AW450" s="115"/>
      <c r="AX450" s="13"/>
      <c r="AY450" s="13"/>
      <c r="BB450" s="114"/>
    </row>
    <row r="451" spans="1:54" ht="19.5" x14ac:dyDescent="0.4">
      <c r="A451" s="117"/>
      <c r="B451" s="123"/>
      <c r="C451" s="123"/>
      <c r="D451" s="123"/>
      <c r="O451" s="26"/>
      <c r="P451" s="13"/>
      <c r="Q451" s="115"/>
      <c r="R451" s="115"/>
      <c r="S451" s="115"/>
      <c r="T451" s="115"/>
      <c r="U451" s="115"/>
      <c r="V451" s="115"/>
      <c r="W451" s="115"/>
      <c r="X451" s="115"/>
      <c r="Y451" s="115"/>
      <c r="Z451" s="26"/>
      <c r="AA451" s="13"/>
      <c r="AF451" s="117"/>
      <c r="AG451" s="123"/>
      <c r="AH451" s="123"/>
      <c r="AI451" s="123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15"/>
      <c r="AU451" s="115"/>
      <c r="AV451" s="115"/>
      <c r="AW451" s="115"/>
      <c r="AX451" s="13"/>
      <c r="AY451" s="13"/>
      <c r="BB451" s="114"/>
    </row>
    <row r="452" spans="1:54" ht="19.5" x14ac:dyDescent="0.4">
      <c r="A452" s="117"/>
      <c r="B452" s="123"/>
      <c r="C452" s="123"/>
      <c r="D452" s="123"/>
      <c r="F452" s="115"/>
      <c r="G452" s="115"/>
      <c r="H452" s="115"/>
      <c r="I452" s="115"/>
      <c r="J452" s="115"/>
      <c r="K452" s="115"/>
      <c r="L452" s="115"/>
      <c r="M452" s="115"/>
      <c r="N452" s="115"/>
      <c r="O452" s="26"/>
      <c r="P452" s="13"/>
      <c r="Q452" s="115"/>
      <c r="R452" s="115"/>
      <c r="S452" s="115"/>
      <c r="T452" s="115"/>
      <c r="U452" s="115"/>
      <c r="V452" s="115"/>
      <c r="W452" s="115"/>
      <c r="X452" s="115"/>
      <c r="Y452" s="115"/>
      <c r="Z452" s="26"/>
      <c r="AA452" s="13"/>
      <c r="AF452" s="117"/>
      <c r="AG452" s="123"/>
      <c r="AH452" s="123"/>
      <c r="AI452" s="123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15"/>
      <c r="AU452" s="115"/>
      <c r="AV452" s="115"/>
      <c r="AW452" s="115"/>
      <c r="AX452" s="13"/>
      <c r="AY452" s="13"/>
      <c r="BB452" s="114"/>
    </row>
    <row r="453" spans="1:54" ht="19.5" x14ac:dyDescent="0.4">
      <c r="A453" s="117"/>
      <c r="B453" s="123"/>
      <c r="C453" s="123"/>
      <c r="D453" s="123"/>
      <c r="O453" s="26"/>
      <c r="P453" s="13"/>
      <c r="Z453" s="26"/>
      <c r="AA453" s="13"/>
      <c r="AF453" s="117"/>
      <c r="AG453" s="123"/>
      <c r="AH453" s="123"/>
      <c r="AI453" s="123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15"/>
      <c r="AU453" s="115"/>
      <c r="AV453" s="115"/>
      <c r="AW453" s="115"/>
      <c r="AX453" s="25">
        <v>45270</v>
      </c>
      <c r="AY453" s="13" t="s">
        <v>164</v>
      </c>
      <c r="BB453" s="114"/>
    </row>
    <row r="454" spans="1:54" ht="19.5" x14ac:dyDescent="0.4">
      <c r="A454" s="117"/>
      <c r="B454" s="123"/>
      <c r="C454" s="123"/>
      <c r="D454" s="123"/>
      <c r="O454" s="26"/>
      <c r="P454" s="13"/>
      <c r="U454" s="115"/>
      <c r="V454" s="115"/>
      <c r="W454" s="115"/>
      <c r="X454" s="115"/>
      <c r="Y454" s="115"/>
      <c r="Z454" s="17"/>
      <c r="AA454" s="13"/>
      <c r="AF454" s="117"/>
      <c r="AG454" s="123"/>
      <c r="AH454" s="123"/>
      <c r="AI454" s="123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15"/>
      <c r="AU454" s="115"/>
      <c r="AV454" s="115"/>
      <c r="AW454" s="115"/>
      <c r="AX454" s="25"/>
      <c r="AY454" s="13"/>
      <c r="BB454" s="114"/>
    </row>
    <row r="455" spans="1:54" ht="19.5" x14ac:dyDescent="0.4">
      <c r="A455" s="117"/>
      <c r="B455" s="123"/>
      <c r="C455" s="123"/>
      <c r="D455" s="123"/>
      <c r="O455" s="26"/>
      <c r="P455" s="13"/>
      <c r="Z455" s="26"/>
      <c r="AA455" s="13"/>
      <c r="AF455" s="117"/>
      <c r="AG455" s="123"/>
      <c r="AH455" s="123"/>
      <c r="AI455" s="123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115"/>
      <c r="AW455" s="115"/>
      <c r="AX455" s="25"/>
      <c r="AY455" s="13"/>
      <c r="BB455" s="114"/>
    </row>
    <row r="456" spans="1:54" ht="19.5" x14ac:dyDescent="0.4">
      <c r="A456" s="117"/>
      <c r="B456" s="123"/>
      <c r="C456" s="123"/>
      <c r="D456" s="123"/>
      <c r="O456" s="26"/>
      <c r="P456" s="13"/>
      <c r="R456" s="115"/>
      <c r="S456" s="115"/>
      <c r="T456" s="115"/>
      <c r="U456" s="115"/>
      <c r="V456" s="115"/>
      <c r="W456" s="115"/>
      <c r="X456" s="115"/>
      <c r="Y456" s="115"/>
      <c r="Z456" s="26"/>
      <c r="AA456" s="13"/>
      <c r="AF456" s="117"/>
      <c r="AG456" s="123"/>
      <c r="AH456" s="123"/>
      <c r="AI456" s="123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15"/>
      <c r="AU456" s="115"/>
      <c r="AV456" s="115"/>
      <c r="AW456" s="115"/>
      <c r="AX456" s="25"/>
      <c r="AY456" s="13"/>
      <c r="BB456" s="114"/>
    </row>
    <row r="457" spans="1:54" ht="19.5" x14ac:dyDescent="0.4">
      <c r="A457" s="117"/>
      <c r="B457" s="123"/>
      <c r="C457" s="123"/>
      <c r="D457" s="123"/>
      <c r="O457" s="26"/>
      <c r="P457" s="13"/>
      <c r="Z457" s="26"/>
      <c r="AA457" s="13"/>
      <c r="AF457" s="117"/>
      <c r="AG457" s="123"/>
      <c r="AH457" s="123"/>
      <c r="AI457" s="123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115"/>
      <c r="AW457" s="115"/>
      <c r="AX457" s="25">
        <v>45270</v>
      </c>
      <c r="AY457" s="13" t="s">
        <v>164</v>
      </c>
      <c r="BB457" s="114"/>
    </row>
    <row r="458" spans="1:54" ht="19.5" x14ac:dyDescent="0.4">
      <c r="A458" s="117"/>
      <c r="B458" s="123"/>
      <c r="C458" s="123"/>
      <c r="D458" s="123"/>
      <c r="O458" s="26"/>
      <c r="P458" s="13"/>
      <c r="T458" s="115"/>
      <c r="U458" s="115"/>
      <c r="V458" s="115"/>
      <c r="W458" s="115"/>
      <c r="X458" s="115"/>
      <c r="Y458" s="115"/>
      <c r="Z458" s="26"/>
      <c r="AA458" s="13"/>
      <c r="AF458" s="117"/>
      <c r="AG458" s="123"/>
      <c r="AH458" s="123"/>
      <c r="AI458" s="123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15"/>
      <c r="AU458" s="115"/>
      <c r="AV458" s="115"/>
      <c r="AW458" s="115"/>
      <c r="AX458" s="25"/>
      <c r="AY458" s="13"/>
      <c r="BB458" s="114"/>
    </row>
    <row r="459" spans="1:54" ht="19.5" x14ac:dyDescent="0.4">
      <c r="A459" s="117"/>
      <c r="B459" s="123"/>
      <c r="C459" s="123"/>
      <c r="D459" s="123"/>
      <c r="F459" s="115"/>
      <c r="G459" s="115"/>
      <c r="H459" s="115"/>
      <c r="I459" s="115"/>
      <c r="J459" s="115"/>
      <c r="K459" s="115"/>
      <c r="L459" s="115"/>
      <c r="M459" s="115"/>
      <c r="N459" s="115"/>
      <c r="O459" s="26"/>
      <c r="P459" s="13"/>
      <c r="Q459" s="115"/>
      <c r="R459" s="115"/>
      <c r="S459" s="115"/>
      <c r="T459" s="115"/>
      <c r="U459" s="115"/>
      <c r="V459" s="115"/>
      <c r="W459" s="115"/>
      <c r="X459" s="115"/>
      <c r="Y459" s="115"/>
      <c r="Z459" s="26"/>
      <c r="AA459" s="13"/>
      <c r="AF459" s="117"/>
      <c r="AG459" s="123"/>
      <c r="AH459" s="123"/>
      <c r="AI459" s="123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115"/>
      <c r="AW459" s="115"/>
      <c r="AX459" s="25"/>
      <c r="AY459" s="13"/>
      <c r="BB459" s="114"/>
    </row>
    <row r="460" spans="1:54" ht="19.5" x14ac:dyDescent="0.4">
      <c r="A460" s="117"/>
      <c r="B460" s="123"/>
      <c r="C460" s="123"/>
      <c r="D460" s="123"/>
      <c r="O460" s="26"/>
      <c r="P460" s="15"/>
      <c r="Z460" s="26"/>
      <c r="AA460" s="13"/>
      <c r="AF460" s="117"/>
      <c r="AG460" s="123"/>
      <c r="AH460" s="123"/>
      <c r="AI460" s="123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15"/>
      <c r="AU460" s="115"/>
      <c r="AV460" s="115"/>
      <c r="AW460" s="115"/>
      <c r="AX460" s="25">
        <v>45270</v>
      </c>
      <c r="AY460" s="13" t="s">
        <v>162</v>
      </c>
      <c r="BB460" s="114"/>
    </row>
    <row r="461" spans="1:54" ht="19.5" x14ac:dyDescent="0.4">
      <c r="A461" s="117"/>
      <c r="B461" s="123"/>
      <c r="C461" s="123"/>
      <c r="D461" s="123"/>
      <c r="O461" s="26"/>
      <c r="P461" s="15"/>
      <c r="S461" s="115"/>
      <c r="T461" s="115"/>
      <c r="U461" s="115"/>
      <c r="V461" s="115"/>
      <c r="W461" s="115"/>
      <c r="X461" s="115"/>
      <c r="Y461" s="115"/>
      <c r="Z461" s="26"/>
      <c r="AA461" s="15"/>
      <c r="AF461" s="117"/>
      <c r="AG461" s="123"/>
      <c r="AH461" s="123"/>
      <c r="AI461" s="123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115"/>
      <c r="AW461" s="115"/>
      <c r="AX461" s="25"/>
      <c r="AY461" s="13"/>
      <c r="BB461" s="114"/>
    </row>
    <row r="462" spans="1:54" ht="19.5" x14ac:dyDescent="0.4">
      <c r="A462" s="117"/>
      <c r="B462" s="123"/>
      <c r="C462" s="123"/>
      <c r="D462" s="123"/>
      <c r="G462" s="115"/>
      <c r="H462" s="115"/>
      <c r="I462" s="115"/>
      <c r="J462" s="115"/>
      <c r="K462" s="115"/>
      <c r="L462" s="115"/>
      <c r="M462" s="115"/>
      <c r="N462" s="115"/>
      <c r="O462" s="17"/>
      <c r="P462" s="15"/>
      <c r="S462" s="115"/>
      <c r="T462" s="115"/>
      <c r="U462" s="115"/>
      <c r="V462" s="115"/>
      <c r="W462" s="115"/>
      <c r="X462" s="115"/>
      <c r="Y462" s="115"/>
      <c r="Z462" s="26"/>
      <c r="AA462" s="13"/>
      <c r="AF462" s="117"/>
      <c r="AG462" s="123"/>
      <c r="AH462" s="123"/>
      <c r="AI462" s="123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115"/>
      <c r="AU462" s="115"/>
      <c r="AV462" s="115"/>
      <c r="AW462" s="115"/>
      <c r="AX462" s="25"/>
      <c r="AY462" s="13"/>
      <c r="BB462" s="114"/>
    </row>
    <row r="463" spans="1:54" ht="19.5" x14ac:dyDescent="0.4">
      <c r="A463" s="117"/>
      <c r="B463" s="123"/>
      <c r="C463" s="123"/>
      <c r="D463" s="123"/>
      <c r="O463" s="26"/>
      <c r="P463" s="15"/>
      <c r="Z463" s="26"/>
      <c r="AA463" s="13"/>
      <c r="AF463" s="117"/>
      <c r="AG463" s="123"/>
      <c r="AH463" s="123"/>
      <c r="AI463" s="123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15"/>
      <c r="AU463" s="115"/>
      <c r="AV463" s="115"/>
      <c r="AW463" s="115"/>
      <c r="AX463" s="25">
        <v>45270</v>
      </c>
      <c r="AY463" s="13" t="s">
        <v>162</v>
      </c>
      <c r="BB463" s="114"/>
    </row>
    <row r="464" spans="1:54" ht="19.5" x14ac:dyDescent="0.4">
      <c r="A464" s="117"/>
      <c r="B464" s="123"/>
      <c r="C464" s="123"/>
      <c r="D464" s="123"/>
      <c r="G464" s="115"/>
      <c r="H464" s="115"/>
      <c r="I464" s="115"/>
      <c r="J464" s="115"/>
      <c r="K464" s="115"/>
      <c r="L464" s="115"/>
      <c r="M464" s="115"/>
      <c r="N464" s="115"/>
      <c r="O464" s="17"/>
      <c r="P464" s="15"/>
      <c r="Z464" s="26"/>
      <c r="AA464" s="13"/>
      <c r="AF464" s="117"/>
      <c r="AG464" s="123"/>
      <c r="AH464" s="123"/>
      <c r="AI464" s="123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15"/>
      <c r="AU464" s="115"/>
      <c r="AV464" s="115"/>
      <c r="AW464" s="115"/>
      <c r="AX464" s="25"/>
      <c r="AY464" s="13"/>
      <c r="BB464" s="114"/>
    </row>
    <row r="465" spans="1:54" ht="19.5" x14ac:dyDescent="0.4">
      <c r="A465" s="117"/>
      <c r="B465" s="123"/>
      <c r="C465" s="123"/>
      <c r="D465" s="123"/>
      <c r="O465" s="26"/>
      <c r="P465" s="15"/>
      <c r="U465" s="115"/>
      <c r="V465" s="115"/>
      <c r="W465" s="115"/>
      <c r="X465" s="115"/>
      <c r="Y465" s="115"/>
      <c r="Z465" s="17"/>
      <c r="AA465" s="13"/>
      <c r="AF465" s="117"/>
      <c r="AG465" s="123"/>
      <c r="AH465" s="123"/>
      <c r="AI465" s="123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15"/>
      <c r="AU465" s="115"/>
      <c r="AV465" s="115"/>
      <c r="AW465" s="115"/>
      <c r="AX465" s="25"/>
      <c r="AY465" s="13"/>
      <c r="BB465" s="114"/>
    </row>
    <row r="466" spans="1:54" ht="19.5" x14ac:dyDescent="0.4">
      <c r="A466" s="117"/>
      <c r="B466" s="123"/>
      <c r="C466" s="123"/>
      <c r="D466" s="123"/>
      <c r="G466" s="115"/>
      <c r="H466" s="115"/>
      <c r="I466" s="115"/>
      <c r="J466" s="115"/>
      <c r="K466" s="115"/>
      <c r="L466" s="115"/>
      <c r="M466" s="115"/>
      <c r="N466" s="115"/>
      <c r="O466" s="119"/>
      <c r="P466" s="119"/>
      <c r="U466" s="115"/>
      <c r="V466" s="115"/>
      <c r="W466" s="115"/>
      <c r="X466" s="115"/>
      <c r="Y466" s="115"/>
      <c r="Z466" s="17"/>
      <c r="AA466" s="13"/>
      <c r="AF466" s="117"/>
      <c r="AG466" s="123"/>
      <c r="AH466" s="123"/>
      <c r="AI466" s="123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15"/>
      <c r="AU466" s="115"/>
      <c r="AV466" s="115"/>
      <c r="AW466" s="115"/>
      <c r="AX466" s="25"/>
      <c r="AY466" s="13"/>
      <c r="BB466" s="114"/>
    </row>
    <row r="467" spans="1:54" ht="19.5" x14ac:dyDescent="0.4">
      <c r="A467" s="117"/>
      <c r="B467" s="123"/>
      <c r="C467" s="123"/>
      <c r="D467" s="123"/>
      <c r="G467" s="115"/>
      <c r="H467" s="115"/>
      <c r="I467" s="115"/>
      <c r="J467" s="115"/>
      <c r="K467" s="115"/>
      <c r="L467" s="115"/>
      <c r="M467" s="115"/>
      <c r="N467" s="115"/>
      <c r="O467" s="119"/>
      <c r="P467" s="119"/>
      <c r="U467" s="115"/>
      <c r="V467" s="115"/>
      <c r="W467" s="115"/>
      <c r="X467" s="115"/>
      <c r="Y467" s="115"/>
      <c r="Z467" s="17"/>
      <c r="AA467" s="13"/>
      <c r="AF467" s="117"/>
      <c r="AG467" s="123"/>
      <c r="AH467" s="123"/>
      <c r="AI467" s="123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15"/>
      <c r="AU467" s="115"/>
      <c r="AV467" s="115"/>
      <c r="AW467" s="115"/>
      <c r="AX467" s="25"/>
      <c r="AY467" s="13"/>
      <c r="BB467" s="114"/>
    </row>
    <row r="468" spans="1:54" ht="19.5" x14ac:dyDescent="0.4">
      <c r="A468" s="117"/>
      <c r="B468" s="123"/>
      <c r="C468" s="123"/>
      <c r="D468" s="123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26"/>
      <c r="AA468" s="13"/>
      <c r="AF468" s="117"/>
      <c r="AG468" s="123"/>
      <c r="AH468" s="123"/>
      <c r="AI468" s="123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15"/>
      <c r="AU468" s="115"/>
      <c r="AV468" s="115"/>
      <c r="AW468" s="115"/>
      <c r="AX468" s="25"/>
      <c r="AY468" s="13"/>
      <c r="BB468" s="114"/>
    </row>
    <row r="469" spans="1:54" ht="19.5" x14ac:dyDescent="0.4">
      <c r="A469" s="117"/>
      <c r="B469" s="123"/>
      <c r="C469" s="123"/>
      <c r="D469" s="123"/>
      <c r="Z469" s="26"/>
      <c r="AA469" s="13"/>
      <c r="AF469" s="117"/>
      <c r="AG469" s="123"/>
      <c r="AH469" s="123"/>
      <c r="AI469" s="123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15"/>
      <c r="AU469" s="115"/>
      <c r="AV469" s="115"/>
      <c r="AW469" s="115"/>
      <c r="AX469" s="25"/>
      <c r="AY469" s="13"/>
      <c r="BB469" s="114"/>
    </row>
    <row r="470" spans="1:54" ht="19.5" x14ac:dyDescent="0.4">
      <c r="A470" s="117"/>
      <c r="B470" s="123"/>
      <c r="C470" s="123"/>
      <c r="D470" s="123"/>
      <c r="Z470" s="26"/>
      <c r="AA470" s="13"/>
      <c r="AF470" s="117"/>
      <c r="AG470" s="123"/>
      <c r="AH470" s="123"/>
      <c r="AI470" s="123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15"/>
      <c r="AU470" s="115"/>
      <c r="AV470" s="115"/>
      <c r="AW470" s="115"/>
      <c r="AX470" s="25">
        <v>45270</v>
      </c>
      <c r="AY470" s="13" t="s">
        <v>163</v>
      </c>
      <c r="BB470" s="114"/>
    </row>
    <row r="471" spans="1:54" ht="19.5" x14ac:dyDescent="0.4">
      <c r="A471" s="117"/>
      <c r="B471" s="123"/>
      <c r="C471" s="123"/>
      <c r="D471" s="123"/>
      <c r="U471" s="115"/>
      <c r="V471" s="115"/>
      <c r="W471" s="115"/>
      <c r="X471" s="115"/>
      <c r="Y471" s="115"/>
      <c r="Z471" s="17"/>
      <c r="AA471" s="13"/>
      <c r="AF471" s="117"/>
      <c r="AG471" s="123"/>
      <c r="AH471" s="123"/>
      <c r="AI471" s="123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15"/>
      <c r="AU471" s="115"/>
      <c r="AV471" s="115"/>
      <c r="AW471" s="115"/>
      <c r="AX471" s="25"/>
      <c r="AY471" s="13"/>
      <c r="BB471" s="114"/>
    </row>
    <row r="472" spans="1:54" ht="19.5" x14ac:dyDescent="0.4">
      <c r="A472" s="117"/>
      <c r="B472" s="123"/>
      <c r="C472" s="123"/>
      <c r="D472" s="123"/>
      <c r="Z472" s="26"/>
      <c r="AA472" s="13"/>
      <c r="AF472" s="117"/>
      <c r="AG472" s="123"/>
      <c r="AH472" s="123"/>
      <c r="AI472" s="123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15"/>
      <c r="AU472" s="115"/>
      <c r="AV472" s="115"/>
      <c r="AW472" s="115" t="s">
        <v>151</v>
      </c>
      <c r="AX472" s="13">
        <f>SUBTOTAL(3,AX453:AX470)</f>
        <v>5</v>
      </c>
      <c r="AY472" s="13">
        <f>SUBTOTAL(3,AY453:AY470)</f>
        <v>5</v>
      </c>
      <c r="BB472" s="114"/>
    </row>
    <row r="473" spans="1:54" ht="19.5" x14ac:dyDescent="0.4">
      <c r="A473" s="117"/>
      <c r="B473" s="123"/>
      <c r="C473" s="123"/>
      <c r="D473" s="123"/>
      <c r="T473" s="115"/>
      <c r="U473" s="115"/>
      <c r="V473" s="115"/>
      <c r="W473" s="115"/>
      <c r="X473" s="115"/>
      <c r="Y473" s="115"/>
      <c r="Z473" s="26"/>
      <c r="AA473" s="13"/>
      <c r="AF473" s="117"/>
      <c r="AG473" s="123"/>
      <c r="AH473" s="123"/>
      <c r="AI473" s="123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15"/>
      <c r="AU473" s="115"/>
      <c r="AV473" s="115"/>
      <c r="AW473" s="115"/>
      <c r="AX473" s="13"/>
      <c r="AY473" s="13"/>
      <c r="BB473" s="114"/>
    </row>
    <row r="474" spans="1:54" ht="19.5" x14ac:dyDescent="0.4">
      <c r="A474" s="117"/>
      <c r="B474" s="123"/>
      <c r="C474" s="123"/>
      <c r="D474" s="123"/>
      <c r="Z474" s="26"/>
      <c r="AA474" s="13"/>
      <c r="AF474" s="117"/>
      <c r="AG474" s="123"/>
      <c r="AH474" s="123"/>
      <c r="AI474" s="123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115"/>
      <c r="AU474" s="115"/>
      <c r="AV474" s="115"/>
      <c r="AW474" s="115"/>
      <c r="AX474" s="25">
        <v>45271</v>
      </c>
      <c r="AY474" s="13" t="s">
        <v>162</v>
      </c>
      <c r="BB474" s="114"/>
    </row>
    <row r="475" spans="1:54" ht="19.5" x14ac:dyDescent="0.4">
      <c r="A475" s="117"/>
      <c r="B475" s="123"/>
      <c r="C475" s="123"/>
      <c r="D475" s="123"/>
      <c r="Z475" s="26"/>
      <c r="AA475" s="13"/>
      <c r="AF475" s="117"/>
      <c r="AG475" s="123"/>
      <c r="AH475" s="123"/>
      <c r="AI475" s="123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15"/>
      <c r="AU475" s="115"/>
      <c r="AV475" s="115"/>
      <c r="AW475" s="115"/>
      <c r="AX475" s="25">
        <v>45271</v>
      </c>
      <c r="AY475" s="13" t="s">
        <v>163</v>
      </c>
      <c r="BB475" s="114"/>
    </row>
    <row r="476" spans="1:54" ht="19.5" x14ac:dyDescent="0.4">
      <c r="A476" s="117"/>
      <c r="B476" s="123"/>
      <c r="C476" s="123"/>
      <c r="D476" s="123"/>
      <c r="T476" s="115"/>
      <c r="U476" s="115"/>
      <c r="V476" s="115"/>
      <c r="W476" s="115"/>
      <c r="X476" s="115"/>
      <c r="Y476" s="115"/>
      <c r="Z476" s="26"/>
      <c r="AA476" s="13"/>
      <c r="AF476" s="117"/>
      <c r="AG476" s="123"/>
      <c r="AH476" s="123"/>
      <c r="AI476" s="123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115"/>
      <c r="AX476" s="25"/>
      <c r="AY476" s="13"/>
      <c r="BB476" s="114"/>
    </row>
    <row r="477" spans="1:54" ht="19.5" x14ac:dyDescent="0.4">
      <c r="A477" s="117"/>
      <c r="B477" s="123"/>
      <c r="C477" s="123"/>
      <c r="D477" s="123"/>
      <c r="S477" s="115"/>
      <c r="T477" s="115"/>
      <c r="U477" s="115"/>
      <c r="V477" s="115"/>
      <c r="W477" s="115"/>
      <c r="X477" s="115"/>
      <c r="Y477" s="115"/>
      <c r="Z477" s="26"/>
      <c r="AA477" s="13"/>
      <c r="AF477" s="117"/>
      <c r="AG477" s="123"/>
      <c r="AH477" s="123"/>
      <c r="AI477" s="123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15"/>
      <c r="AU477" s="115"/>
      <c r="AV477" s="115"/>
      <c r="AW477" s="115"/>
      <c r="AX477" s="25"/>
      <c r="AY477" s="13"/>
      <c r="BB477" s="114"/>
    </row>
    <row r="478" spans="1:54" ht="19.5" x14ac:dyDescent="0.4">
      <c r="A478" s="117"/>
      <c r="B478" s="123"/>
      <c r="C478" s="123"/>
      <c r="D478" s="123"/>
      <c r="S478" s="115"/>
      <c r="T478" s="115"/>
      <c r="U478" s="115"/>
      <c r="V478" s="115"/>
      <c r="W478" s="115"/>
      <c r="X478" s="115"/>
      <c r="Y478" s="115"/>
      <c r="Z478" s="17"/>
      <c r="AA478" s="13"/>
      <c r="AF478" s="117"/>
      <c r="AG478" s="123"/>
      <c r="AH478" s="123"/>
      <c r="AI478" s="123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115"/>
      <c r="AU478" s="115"/>
      <c r="AV478" s="115"/>
      <c r="AW478" s="115"/>
      <c r="AX478" s="25"/>
      <c r="AY478" s="13"/>
      <c r="BB478" s="114"/>
    </row>
    <row r="479" spans="1:54" ht="19.5" x14ac:dyDescent="0.4">
      <c r="A479" s="117"/>
      <c r="B479" s="123"/>
      <c r="C479" s="123"/>
      <c r="D479" s="123"/>
      <c r="Q479" s="115"/>
      <c r="R479" s="115"/>
      <c r="S479" s="115"/>
      <c r="T479" s="115"/>
      <c r="U479" s="115"/>
      <c r="V479" s="115"/>
      <c r="W479" s="115"/>
      <c r="X479" s="115"/>
      <c r="Y479" s="115"/>
      <c r="Z479" s="26"/>
      <c r="AA479" s="13"/>
      <c r="AF479" s="117"/>
      <c r="AG479" s="123"/>
      <c r="AH479" s="123"/>
      <c r="AI479" s="123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115"/>
      <c r="AU479" s="115"/>
      <c r="AV479" s="115"/>
      <c r="AW479" s="115"/>
      <c r="AX479" s="25"/>
      <c r="AY479" s="13"/>
      <c r="BB479" s="114"/>
    </row>
    <row r="480" spans="1:54" ht="19.5" x14ac:dyDescent="0.4">
      <c r="A480" s="117"/>
      <c r="B480" s="123"/>
      <c r="C480" s="123"/>
      <c r="D480" s="123"/>
      <c r="Z480" s="26"/>
      <c r="AA480" s="13"/>
      <c r="AF480" s="117"/>
      <c r="AG480" s="123"/>
      <c r="AH480" s="123"/>
      <c r="AI480" s="123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115"/>
      <c r="AU480" s="115"/>
      <c r="AV480" s="115"/>
      <c r="AW480" s="115"/>
      <c r="AX480" s="25">
        <v>45271</v>
      </c>
      <c r="AY480" s="13" t="s">
        <v>163</v>
      </c>
      <c r="BB480" s="114"/>
    </row>
    <row r="481" spans="1:54" ht="19.5" x14ac:dyDescent="0.4">
      <c r="A481" s="117"/>
      <c r="B481" s="123"/>
      <c r="C481" s="123"/>
      <c r="D481" s="123"/>
      <c r="T481" s="115"/>
      <c r="U481" s="115"/>
      <c r="V481" s="115"/>
      <c r="W481" s="115"/>
      <c r="X481" s="115"/>
      <c r="Y481" s="115"/>
      <c r="Z481" s="26"/>
      <c r="AA481" s="13"/>
      <c r="AF481" s="117"/>
      <c r="AG481" s="123"/>
      <c r="AH481" s="123"/>
      <c r="AI481" s="123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15"/>
      <c r="AU481" s="115"/>
      <c r="AV481" s="115"/>
      <c r="AW481" s="115"/>
      <c r="AX481" s="25"/>
      <c r="AY481" s="13"/>
      <c r="BB481" s="114"/>
    </row>
    <row r="482" spans="1:54" ht="19.5" x14ac:dyDescent="0.4">
      <c r="A482" s="117"/>
      <c r="B482" s="123"/>
      <c r="C482" s="123"/>
      <c r="D482" s="123"/>
      <c r="R482" s="115"/>
      <c r="S482" s="115"/>
      <c r="T482" s="115"/>
      <c r="U482" s="115"/>
      <c r="V482" s="115"/>
      <c r="W482" s="115"/>
      <c r="X482" s="115"/>
      <c r="Y482" s="115"/>
      <c r="Z482" s="26"/>
      <c r="AA482" s="13"/>
      <c r="AF482" s="117"/>
      <c r="AG482" s="123"/>
      <c r="AH482" s="123"/>
      <c r="AI482" s="123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15"/>
      <c r="AU482" s="115"/>
      <c r="AV482" s="115"/>
      <c r="AW482" s="115"/>
      <c r="AX482" s="25"/>
      <c r="AY482" s="13"/>
      <c r="BB482" s="114"/>
    </row>
    <row r="483" spans="1:54" ht="19.5" x14ac:dyDescent="0.4">
      <c r="A483" s="117"/>
      <c r="B483" s="123"/>
      <c r="C483" s="123"/>
      <c r="D483" s="123"/>
      <c r="R483" s="115"/>
      <c r="S483" s="115"/>
      <c r="T483" s="115"/>
      <c r="U483" s="115"/>
      <c r="V483" s="115"/>
      <c r="W483" s="115"/>
      <c r="X483" s="115"/>
      <c r="Y483" s="115"/>
      <c r="Z483" s="17"/>
      <c r="AA483" s="13"/>
      <c r="AF483" s="117"/>
      <c r="AG483" s="123"/>
      <c r="AH483" s="123"/>
      <c r="AI483" s="123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15"/>
      <c r="AU483" s="115"/>
      <c r="AV483" s="115"/>
      <c r="AW483" s="115"/>
      <c r="AX483" s="25"/>
      <c r="AY483" s="13"/>
      <c r="BB483" s="114"/>
    </row>
    <row r="484" spans="1:54" ht="19.5" x14ac:dyDescent="0.4">
      <c r="A484" s="117"/>
      <c r="B484" s="123"/>
      <c r="C484" s="123"/>
      <c r="D484" s="123"/>
      <c r="Z484" s="26"/>
      <c r="AA484" s="13"/>
      <c r="AF484" s="117"/>
      <c r="AG484" s="123"/>
      <c r="AH484" s="123"/>
      <c r="AI484" s="123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15"/>
      <c r="AU484" s="115"/>
      <c r="AV484" s="115"/>
      <c r="AW484" s="115" t="s">
        <v>165</v>
      </c>
      <c r="AX484" s="13">
        <f>SUBTOTAL(3,AX474:AX480)</f>
        <v>3</v>
      </c>
      <c r="AY484" s="13">
        <f>SUBTOTAL(3,AY474:AY480)</f>
        <v>3</v>
      </c>
      <c r="BB484" s="114"/>
    </row>
    <row r="485" spans="1:54" ht="19.5" x14ac:dyDescent="0.4">
      <c r="A485" s="117"/>
      <c r="B485" s="123"/>
      <c r="C485" s="123"/>
      <c r="D485" s="123"/>
      <c r="Z485" s="26"/>
      <c r="AA485" s="13"/>
      <c r="AF485" s="117"/>
      <c r="AG485" s="123"/>
      <c r="AH485" s="123"/>
      <c r="AI485" s="123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15"/>
      <c r="AU485" s="115"/>
      <c r="AV485" s="115"/>
      <c r="AW485" s="115"/>
      <c r="AX485" s="25">
        <v>45272</v>
      </c>
      <c r="AY485" s="13" t="s">
        <v>162</v>
      </c>
      <c r="BB485" s="114"/>
    </row>
    <row r="486" spans="1:54" ht="19.5" x14ac:dyDescent="0.4">
      <c r="A486" s="117"/>
      <c r="B486" s="123"/>
      <c r="C486" s="123"/>
      <c r="D486" s="123"/>
      <c r="U486" s="115"/>
      <c r="V486" s="115"/>
      <c r="W486" s="115"/>
      <c r="X486" s="115"/>
      <c r="Y486" s="115"/>
      <c r="Z486" s="17"/>
      <c r="AA486" s="13"/>
      <c r="AF486" s="117"/>
      <c r="AG486" s="123"/>
      <c r="AH486" s="123"/>
      <c r="AI486" s="123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15"/>
      <c r="AU486" s="115"/>
      <c r="AV486" s="115"/>
      <c r="AW486" s="115"/>
      <c r="AX486" s="25"/>
      <c r="AY486" s="13"/>
      <c r="BB486" s="114"/>
    </row>
    <row r="487" spans="1:54" ht="19.5" x14ac:dyDescent="0.4">
      <c r="A487" s="117"/>
      <c r="B487" s="123"/>
      <c r="C487" s="123"/>
      <c r="D487" s="123"/>
      <c r="Z487" s="26"/>
      <c r="AA487" s="15"/>
      <c r="AF487" s="117"/>
      <c r="AG487" s="123"/>
      <c r="AH487" s="123"/>
      <c r="AI487" s="123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15"/>
      <c r="AU487" s="115"/>
      <c r="AV487" s="115"/>
      <c r="AW487" s="115"/>
      <c r="AX487" s="25">
        <v>45272</v>
      </c>
      <c r="AY487" s="13" t="s">
        <v>162</v>
      </c>
      <c r="BB487" s="114"/>
    </row>
    <row r="488" spans="1:54" ht="19.5" x14ac:dyDescent="0.4">
      <c r="A488" s="117"/>
      <c r="B488" s="123"/>
      <c r="C488" s="123"/>
      <c r="D488" s="123"/>
      <c r="U488" s="115"/>
      <c r="V488" s="115"/>
      <c r="W488" s="115"/>
      <c r="X488" s="115"/>
      <c r="Y488" s="115"/>
      <c r="Z488" s="17"/>
      <c r="AA488" s="13"/>
      <c r="AF488" s="117"/>
      <c r="AG488" s="123"/>
      <c r="AH488" s="123"/>
      <c r="AI488" s="123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25"/>
      <c r="AY488" s="13"/>
      <c r="BB488" s="114"/>
    </row>
    <row r="489" spans="1:54" ht="19.5" x14ac:dyDescent="0.4">
      <c r="A489" s="117"/>
      <c r="B489" s="123"/>
      <c r="C489" s="123"/>
      <c r="D489" s="123"/>
      <c r="U489" s="115"/>
      <c r="V489" s="115"/>
      <c r="W489" s="115"/>
      <c r="X489" s="115"/>
      <c r="Y489" s="115"/>
      <c r="Z489" s="17"/>
      <c r="AA489" s="13"/>
      <c r="AF489" s="117"/>
      <c r="AG489" s="123"/>
      <c r="AH489" s="123"/>
      <c r="AI489" s="123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15"/>
      <c r="AU489" s="115"/>
      <c r="AV489" s="115"/>
      <c r="AW489" s="115"/>
      <c r="AX489" s="25"/>
      <c r="AY489" s="13"/>
      <c r="BB489" s="114"/>
    </row>
    <row r="490" spans="1:54" ht="19.5" x14ac:dyDescent="0.4">
      <c r="A490" s="117"/>
      <c r="B490" s="123"/>
      <c r="C490" s="123"/>
      <c r="D490" s="123"/>
      <c r="Z490" s="26"/>
      <c r="AA490" s="13"/>
      <c r="AF490" s="117"/>
      <c r="AG490" s="123"/>
      <c r="AH490" s="123"/>
      <c r="AI490" s="123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15"/>
      <c r="AU490" s="115"/>
      <c r="AV490" s="115"/>
      <c r="AW490" s="115"/>
      <c r="AX490" s="25">
        <v>45272</v>
      </c>
      <c r="AY490" s="13" t="s">
        <v>162</v>
      </c>
      <c r="BB490" s="114"/>
    </row>
    <row r="491" spans="1:54" ht="19.5" x14ac:dyDescent="0.4">
      <c r="A491" s="125"/>
      <c r="B491" s="126"/>
      <c r="C491" s="126"/>
      <c r="D491" s="126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26"/>
      <c r="AA491" s="13"/>
      <c r="AF491" s="117"/>
      <c r="AG491" s="123"/>
      <c r="AH491" s="123"/>
      <c r="AI491" s="123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15"/>
      <c r="AU491" s="115"/>
      <c r="AV491" s="115"/>
      <c r="AW491" s="115"/>
      <c r="AX491" s="25"/>
      <c r="AY491" s="13"/>
      <c r="BB491" s="114"/>
    </row>
    <row r="492" spans="1:54" ht="19.5" x14ac:dyDescent="0.4">
      <c r="A492" s="125"/>
      <c r="B492" s="126"/>
      <c r="C492" s="126"/>
      <c r="D492" s="126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26"/>
      <c r="AA492" s="13"/>
      <c r="AF492" s="117"/>
      <c r="AG492" s="123"/>
      <c r="AH492" s="123"/>
      <c r="AI492" s="123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15"/>
      <c r="AU492" s="115"/>
      <c r="AV492" s="115"/>
      <c r="AW492" s="115"/>
      <c r="AX492" s="25"/>
      <c r="AY492" s="13"/>
      <c r="BB492" s="114"/>
    </row>
    <row r="493" spans="1:54" ht="19.5" x14ac:dyDescent="0.4">
      <c r="A493" s="125"/>
      <c r="B493" s="126"/>
      <c r="C493" s="126"/>
      <c r="D493" s="126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7"/>
      <c r="AA493" s="13"/>
      <c r="AF493" s="117"/>
      <c r="AG493" s="123"/>
      <c r="AH493" s="123"/>
      <c r="AI493" s="123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15"/>
      <c r="AU493" s="115"/>
      <c r="AV493" s="115"/>
      <c r="AW493" s="115"/>
      <c r="AX493" s="25"/>
      <c r="AY493" s="13"/>
      <c r="BB493" s="114"/>
    </row>
    <row r="494" spans="1:54" ht="19.5" x14ac:dyDescent="0.4">
      <c r="A494" s="125"/>
      <c r="B494" s="126"/>
      <c r="C494" s="126"/>
      <c r="D494" s="126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26"/>
      <c r="AA494" s="13"/>
      <c r="AF494" s="117"/>
      <c r="AG494" s="123"/>
      <c r="AH494" s="123"/>
      <c r="AI494" s="123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25"/>
      <c r="AY494" s="13"/>
      <c r="BB494" s="114"/>
    </row>
    <row r="495" spans="1:54" ht="19.5" x14ac:dyDescent="0.4">
      <c r="Z495" s="26"/>
      <c r="AA495" s="13"/>
      <c r="AF495" s="117"/>
      <c r="AG495" s="123"/>
      <c r="AH495" s="123"/>
      <c r="AI495" s="123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15"/>
      <c r="AU495" s="115"/>
      <c r="AV495" s="115"/>
      <c r="AW495" s="115"/>
      <c r="AX495" s="25">
        <v>45272</v>
      </c>
      <c r="AY495" s="13" t="s">
        <v>162</v>
      </c>
      <c r="BB495" s="114"/>
    </row>
    <row r="496" spans="1:54" ht="19.5" x14ac:dyDescent="0.4">
      <c r="Z496" s="26"/>
      <c r="AA496" s="13"/>
      <c r="AF496" s="117"/>
      <c r="AG496" s="123"/>
      <c r="AH496" s="123"/>
      <c r="AI496" s="123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15"/>
      <c r="AV496" s="115"/>
      <c r="AW496" s="115"/>
      <c r="AX496" s="25"/>
      <c r="AY496" s="13"/>
      <c r="BB496" s="114"/>
    </row>
    <row r="497" spans="6:54" ht="19.5" x14ac:dyDescent="0.4"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26"/>
      <c r="AA497" s="25"/>
      <c r="AF497" s="117"/>
      <c r="AG497" s="123"/>
      <c r="AH497" s="123"/>
      <c r="AI497" s="123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15"/>
      <c r="AV497" s="115"/>
      <c r="AW497" s="115"/>
      <c r="AX497" s="25"/>
      <c r="AY497" s="13"/>
      <c r="BB497" s="114"/>
    </row>
    <row r="498" spans="6:54" ht="19.5" x14ac:dyDescent="0.4">
      <c r="Z498" s="26"/>
      <c r="AA498" s="25"/>
      <c r="AF498" s="117"/>
      <c r="AG498" s="123"/>
      <c r="AH498" s="123"/>
      <c r="AI498" s="123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25">
        <v>45272</v>
      </c>
      <c r="AY498" s="13" t="s">
        <v>162</v>
      </c>
      <c r="BB498" s="114"/>
    </row>
    <row r="499" spans="6:54" ht="19.5" x14ac:dyDescent="0.4">
      <c r="Z499" s="26"/>
      <c r="AA499" s="13"/>
      <c r="AF499" s="117"/>
      <c r="AG499" s="123"/>
      <c r="AH499" s="123"/>
      <c r="AI499" s="123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15"/>
      <c r="AT499" s="115"/>
      <c r="AU499" s="115"/>
      <c r="AV499" s="115"/>
      <c r="AW499" s="115"/>
      <c r="AX499" s="25">
        <v>45272</v>
      </c>
      <c r="AY499" s="15" t="s">
        <v>162</v>
      </c>
      <c r="BB499" s="114"/>
    </row>
    <row r="500" spans="6:54" ht="19.5" x14ac:dyDescent="0.4">
      <c r="Z500" s="26"/>
      <c r="AA500" s="13"/>
      <c r="AF500" s="117"/>
      <c r="AG500" s="123"/>
      <c r="AH500" s="123"/>
      <c r="AI500" s="123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115"/>
      <c r="AT500" s="115"/>
      <c r="AU500" s="115"/>
      <c r="AV500" s="115"/>
      <c r="AW500" s="115"/>
      <c r="AX500" s="25">
        <v>45272</v>
      </c>
      <c r="AY500" s="15" t="s">
        <v>162</v>
      </c>
      <c r="BB500" s="114"/>
    </row>
    <row r="501" spans="6:54" ht="19.5" x14ac:dyDescent="0.4"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26"/>
      <c r="AA501" s="13"/>
      <c r="AF501" s="117"/>
      <c r="AG501" s="123"/>
      <c r="AH501" s="123"/>
      <c r="AI501" s="123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115"/>
      <c r="AT501" s="115"/>
      <c r="AU501" s="115"/>
      <c r="AV501" s="115"/>
      <c r="AW501" s="115"/>
      <c r="AX501" s="25"/>
      <c r="AY501" s="15"/>
      <c r="BB501" s="114"/>
    </row>
    <row r="502" spans="6:54" ht="19.5" x14ac:dyDescent="0.4"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7"/>
      <c r="AA502" s="13"/>
      <c r="AF502" s="117"/>
      <c r="AG502" s="123"/>
      <c r="AH502" s="123"/>
      <c r="AI502" s="123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115"/>
      <c r="AT502" s="115"/>
      <c r="AU502" s="115"/>
      <c r="AV502" s="115"/>
      <c r="AW502" s="115"/>
      <c r="AX502" s="25"/>
      <c r="AY502" s="15"/>
      <c r="BB502" s="114"/>
    </row>
    <row r="503" spans="6:54" ht="19.5" x14ac:dyDescent="0.4">
      <c r="Z503" s="26"/>
      <c r="AA503" s="13"/>
      <c r="AF503" s="117"/>
      <c r="AG503" s="123"/>
      <c r="AH503" s="123"/>
      <c r="AI503" s="123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25">
        <v>45272</v>
      </c>
      <c r="AY503" s="15" t="s">
        <v>162</v>
      </c>
      <c r="BB503" s="114"/>
    </row>
    <row r="504" spans="6:54" ht="19.5" x14ac:dyDescent="0.4"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26"/>
      <c r="AA504" s="13"/>
      <c r="AF504" s="117"/>
      <c r="AG504" s="123"/>
      <c r="AH504" s="123"/>
      <c r="AI504" s="123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25"/>
      <c r="AY504" s="15"/>
      <c r="BB504" s="114"/>
    </row>
    <row r="505" spans="6:54" ht="19.5" x14ac:dyDescent="0.4"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26"/>
      <c r="AA505" s="13"/>
      <c r="AF505" s="117"/>
      <c r="AG505" s="123"/>
      <c r="AH505" s="123"/>
      <c r="AI505" s="123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115"/>
      <c r="AT505" s="115"/>
      <c r="AU505" s="115"/>
      <c r="AV505" s="115"/>
      <c r="AW505" s="115"/>
      <c r="AX505" s="25"/>
      <c r="AY505" s="15"/>
      <c r="BB505" s="114"/>
    </row>
    <row r="506" spans="6:54" ht="19.5" x14ac:dyDescent="0.4"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7"/>
      <c r="AA506" s="13"/>
      <c r="AF506" s="117"/>
      <c r="AG506" s="123"/>
      <c r="AH506" s="123"/>
      <c r="AI506" s="123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25"/>
      <c r="AY506" s="15"/>
      <c r="BB506" s="114"/>
    </row>
    <row r="507" spans="6:54" ht="19.5" x14ac:dyDescent="0.4"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26"/>
      <c r="AA507" s="13"/>
      <c r="AF507" s="117"/>
      <c r="AG507" s="123"/>
      <c r="AH507" s="123"/>
      <c r="AI507" s="123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115"/>
      <c r="AV507" s="115"/>
      <c r="AW507" s="115"/>
      <c r="AX507" s="25"/>
      <c r="AY507" s="15"/>
      <c r="BB507" s="114"/>
    </row>
    <row r="508" spans="6:54" ht="19.5" x14ac:dyDescent="0.4"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7"/>
      <c r="AA508" s="13"/>
      <c r="AF508" s="117"/>
      <c r="AG508" s="123"/>
      <c r="AH508" s="123"/>
      <c r="AI508" s="123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115"/>
      <c r="AW508" s="115"/>
      <c r="AX508" s="25"/>
      <c r="AY508" s="15"/>
      <c r="BB508" s="114"/>
    </row>
    <row r="509" spans="6:54" ht="19.5" x14ac:dyDescent="0.4"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26"/>
      <c r="AA509" s="13"/>
      <c r="AF509" s="117"/>
      <c r="AG509" s="123"/>
      <c r="AH509" s="123"/>
      <c r="AI509" s="123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25"/>
      <c r="AY509" s="15"/>
      <c r="BB509" s="114"/>
    </row>
    <row r="510" spans="6:54" ht="19.5" x14ac:dyDescent="0.4">
      <c r="Z510" s="26"/>
      <c r="AA510" s="13"/>
      <c r="AF510" s="117"/>
      <c r="AG510" s="123"/>
      <c r="AH510" s="123"/>
      <c r="AI510" s="123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115"/>
      <c r="AW510" s="115"/>
      <c r="AX510" s="25">
        <v>45272</v>
      </c>
      <c r="AY510" s="15" t="s">
        <v>162</v>
      </c>
      <c r="BB510" s="114"/>
    </row>
    <row r="511" spans="6:54" ht="19.5" x14ac:dyDescent="0.4">
      <c r="S511" s="115"/>
      <c r="T511" s="115"/>
      <c r="U511" s="115"/>
      <c r="V511" s="115"/>
      <c r="W511" s="115"/>
      <c r="X511" s="115"/>
      <c r="Y511" s="115"/>
      <c r="Z511" s="26"/>
      <c r="AA511" s="13"/>
      <c r="AF511" s="117"/>
      <c r="AG511" s="123"/>
      <c r="AH511" s="123"/>
      <c r="AI511" s="123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115"/>
      <c r="AW511" s="115"/>
      <c r="AX511" s="25"/>
      <c r="AY511" s="15"/>
      <c r="BB511" s="114"/>
    </row>
    <row r="512" spans="6:54" ht="19.5" x14ac:dyDescent="0.4">
      <c r="S512" s="115"/>
      <c r="T512" s="115"/>
      <c r="U512" s="115"/>
      <c r="V512" s="115"/>
      <c r="W512" s="115"/>
      <c r="X512" s="115"/>
      <c r="Y512" s="115"/>
      <c r="Z512" s="17"/>
      <c r="AA512" s="13"/>
      <c r="AF512" s="117"/>
      <c r="AG512" s="123"/>
      <c r="AH512" s="123"/>
      <c r="AI512" s="123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115"/>
      <c r="AW512" s="115"/>
      <c r="AX512" s="25"/>
      <c r="AY512" s="15"/>
      <c r="BB512" s="114"/>
    </row>
    <row r="513" spans="6:54" ht="19.5" x14ac:dyDescent="0.4"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26"/>
      <c r="AA513" s="13"/>
      <c r="AF513" s="117"/>
      <c r="AG513" s="123"/>
      <c r="AH513" s="123"/>
      <c r="AI513" s="123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25"/>
      <c r="AY513" s="15"/>
      <c r="BB513" s="114"/>
    </row>
    <row r="514" spans="6:54" ht="19.5" x14ac:dyDescent="0.4"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7"/>
      <c r="AA514" s="13"/>
      <c r="AF514" s="117"/>
      <c r="AG514" s="123"/>
      <c r="AH514" s="123"/>
      <c r="AI514" s="123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25"/>
      <c r="AY514" s="15"/>
      <c r="BB514" s="114"/>
    </row>
    <row r="515" spans="6:54" ht="19.5" x14ac:dyDescent="0.4"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26"/>
      <c r="AA515" s="25"/>
      <c r="AF515" s="117"/>
      <c r="AG515" s="123"/>
      <c r="AH515" s="123"/>
      <c r="AI515" s="123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25"/>
      <c r="AY515" s="15"/>
      <c r="BB515" s="114"/>
    </row>
    <row r="516" spans="6:54" ht="19.5" x14ac:dyDescent="0.4"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7"/>
      <c r="AA516" s="13"/>
      <c r="AF516" s="117"/>
      <c r="AG516" s="123"/>
      <c r="AH516" s="123"/>
      <c r="AI516" s="123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25"/>
      <c r="AY516" s="15"/>
      <c r="BB516" s="114"/>
    </row>
    <row r="517" spans="6:54" ht="19.5" x14ac:dyDescent="0.4"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26"/>
      <c r="AA517" s="13"/>
      <c r="AF517" s="117"/>
      <c r="AG517" s="123"/>
      <c r="AH517" s="123"/>
      <c r="AI517" s="123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25"/>
      <c r="AY517" s="15"/>
      <c r="BB517" s="114"/>
    </row>
    <row r="518" spans="6:54" ht="19.5" x14ac:dyDescent="0.4">
      <c r="Z518" s="26"/>
      <c r="AA518" s="13"/>
      <c r="AF518" s="117"/>
      <c r="AG518" s="123"/>
      <c r="AH518" s="123"/>
      <c r="AI518" s="123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25">
        <v>45272</v>
      </c>
      <c r="AY518" s="15" t="s">
        <v>162</v>
      </c>
      <c r="BB518" s="114"/>
    </row>
    <row r="519" spans="6:54" ht="19.5" x14ac:dyDescent="0.4">
      <c r="T519" s="115"/>
      <c r="U519" s="115"/>
      <c r="V519" s="115"/>
      <c r="W519" s="115"/>
      <c r="X519" s="115"/>
      <c r="Y519" s="115"/>
      <c r="Z519" s="17"/>
      <c r="AA519" s="13"/>
      <c r="AF519" s="117"/>
      <c r="AG519" s="123"/>
      <c r="AH519" s="123"/>
      <c r="AI519" s="123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115"/>
      <c r="AV519" s="115"/>
      <c r="AW519" s="115"/>
      <c r="AX519" s="25"/>
      <c r="AY519" s="15"/>
      <c r="BB519" s="114"/>
    </row>
    <row r="520" spans="6:54" ht="19.5" x14ac:dyDescent="0.4">
      <c r="S520" s="115"/>
      <c r="T520" s="115"/>
      <c r="U520" s="115"/>
      <c r="V520" s="115"/>
      <c r="W520" s="115"/>
      <c r="X520" s="115"/>
      <c r="Y520" s="115"/>
      <c r="Z520" s="26"/>
      <c r="AA520" s="13"/>
      <c r="AF520" s="117"/>
      <c r="AG520" s="123"/>
      <c r="AH520" s="123"/>
      <c r="AI520" s="123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15"/>
      <c r="AU520" s="115"/>
      <c r="AV520" s="115"/>
      <c r="AW520" s="115"/>
      <c r="AX520" s="25"/>
      <c r="AY520" s="15"/>
      <c r="BB520" s="114"/>
    </row>
    <row r="521" spans="6:54" ht="19.5" x14ac:dyDescent="0.4">
      <c r="S521" s="115"/>
      <c r="T521" s="115"/>
      <c r="U521" s="115"/>
      <c r="V521" s="115"/>
      <c r="W521" s="115"/>
      <c r="X521" s="115"/>
      <c r="Y521" s="115"/>
      <c r="Z521" s="17"/>
      <c r="AA521" s="13"/>
      <c r="AF521" s="117"/>
      <c r="AG521" s="123"/>
      <c r="AH521" s="123"/>
      <c r="AI521" s="123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15"/>
      <c r="AU521" s="115"/>
      <c r="AV521" s="115"/>
      <c r="AW521" s="115"/>
      <c r="AX521" s="25"/>
      <c r="AY521" s="15"/>
      <c r="BB521" s="114"/>
    </row>
    <row r="522" spans="6:54" ht="19.5" x14ac:dyDescent="0.4">
      <c r="S522" s="115"/>
      <c r="T522" s="115"/>
      <c r="U522" s="115"/>
      <c r="V522" s="115"/>
      <c r="W522" s="115"/>
      <c r="X522" s="115"/>
      <c r="Y522" s="115"/>
      <c r="Z522" s="17"/>
      <c r="AA522" s="13"/>
      <c r="AF522" s="117"/>
      <c r="AG522" s="123"/>
      <c r="AH522" s="123"/>
      <c r="AI522" s="123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25"/>
      <c r="AY522" s="15"/>
      <c r="BB522" s="114"/>
    </row>
    <row r="523" spans="6:54" ht="19.5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26"/>
      <c r="AA523" s="13"/>
      <c r="AF523" s="117"/>
      <c r="AG523" s="123"/>
      <c r="AH523" s="123"/>
      <c r="AI523" s="123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25"/>
      <c r="AY523" s="15"/>
      <c r="BB523" s="114"/>
    </row>
    <row r="524" spans="6:54" ht="19.5" x14ac:dyDescent="0.4"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20"/>
      <c r="AA524" s="13"/>
      <c r="AF524" s="117"/>
      <c r="AG524" s="123"/>
      <c r="AH524" s="123"/>
      <c r="AI524" s="123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15"/>
      <c r="AU524" s="115"/>
      <c r="AV524" s="115"/>
      <c r="AW524" s="115"/>
      <c r="AX524" s="25"/>
      <c r="AY524" s="15"/>
      <c r="BB524" s="114"/>
    </row>
    <row r="525" spans="6:54" ht="19.5" x14ac:dyDescent="0.4"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20"/>
      <c r="AA525" s="13"/>
      <c r="AF525" s="117"/>
      <c r="AG525" s="123"/>
      <c r="AH525" s="123"/>
      <c r="AI525" s="123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25"/>
      <c r="AY525" s="15"/>
      <c r="BB525" s="114"/>
    </row>
    <row r="526" spans="6:54" ht="19.5" x14ac:dyDescent="0.4"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25"/>
      <c r="AA526" s="15"/>
      <c r="AF526" s="117"/>
      <c r="AG526" s="123"/>
      <c r="AH526" s="123"/>
      <c r="AI526" s="123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15"/>
      <c r="AW526" s="115"/>
      <c r="AX526" s="25"/>
      <c r="AY526" s="15"/>
      <c r="BB526" s="114"/>
    </row>
    <row r="527" spans="6:54" ht="19.5" x14ac:dyDescent="0.4"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25"/>
      <c r="AA527" s="15"/>
      <c r="AF527" s="117"/>
      <c r="AG527" s="123"/>
      <c r="AH527" s="123"/>
      <c r="AI527" s="123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25"/>
      <c r="AY527" s="15"/>
      <c r="BB527" s="114"/>
    </row>
    <row r="528" spans="6:54" ht="19.5" x14ac:dyDescent="0.4"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25"/>
      <c r="AA528" s="15"/>
      <c r="AF528" s="117"/>
      <c r="AG528" s="123"/>
      <c r="AH528" s="123"/>
      <c r="AI528" s="123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25"/>
      <c r="AY528" s="15"/>
      <c r="BB528" s="114"/>
    </row>
    <row r="529" spans="15:54" ht="19.5" x14ac:dyDescent="0.4">
      <c r="Z529" s="26"/>
      <c r="AA529" s="15"/>
      <c r="AF529" s="117"/>
      <c r="AG529" s="123"/>
      <c r="AH529" s="123"/>
      <c r="AI529" s="123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25">
        <v>45272</v>
      </c>
      <c r="AY529" s="15" t="s">
        <v>162</v>
      </c>
      <c r="BB529" s="114"/>
    </row>
    <row r="530" spans="15:54" ht="19.5" x14ac:dyDescent="0.4">
      <c r="Z530" s="26"/>
      <c r="AA530" s="13"/>
      <c r="AF530" s="117"/>
      <c r="AG530" s="123"/>
      <c r="AH530" s="123"/>
      <c r="AI530" s="123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25"/>
      <c r="AY530" s="15"/>
      <c r="BB530" s="114"/>
    </row>
    <row r="531" spans="15:54" ht="19.5" x14ac:dyDescent="0.4"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26"/>
      <c r="AA531" s="13"/>
      <c r="AF531" s="117"/>
      <c r="AG531" s="123"/>
      <c r="AH531" s="123"/>
      <c r="AI531" s="123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25"/>
      <c r="AY531" s="15"/>
      <c r="BB531" s="114"/>
    </row>
    <row r="532" spans="15:54" ht="19.5" x14ac:dyDescent="0.4">
      <c r="Z532" s="26"/>
      <c r="AA532" s="13"/>
      <c r="AF532" s="117"/>
      <c r="AG532" s="123"/>
      <c r="AH532" s="123"/>
      <c r="AI532" s="123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25">
        <v>45272</v>
      </c>
      <c r="AY532" s="15" t="s">
        <v>162</v>
      </c>
      <c r="BB532" s="114"/>
    </row>
    <row r="533" spans="15:54" ht="19.5" x14ac:dyDescent="0.4">
      <c r="R533" s="115"/>
      <c r="S533" s="115"/>
      <c r="T533" s="115"/>
      <c r="U533" s="115"/>
      <c r="V533" s="115"/>
      <c r="W533" s="115"/>
      <c r="X533" s="115"/>
      <c r="Y533" s="115"/>
      <c r="Z533" s="17"/>
      <c r="AA533" s="13"/>
      <c r="AF533" s="117"/>
      <c r="AG533" s="123"/>
      <c r="AH533" s="123"/>
      <c r="AI533" s="123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25"/>
      <c r="AY533" s="15"/>
      <c r="BB533" s="114"/>
    </row>
    <row r="534" spans="15:54" ht="19.5" x14ac:dyDescent="0.4">
      <c r="Z534" s="26"/>
      <c r="AA534" s="13"/>
      <c r="AF534" s="117"/>
      <c r="AG534" s="123"/>
      <c r="AH534" s="123"/>
      <c r="AI534" s="123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25"/>
      <c r="AY534" s="15"/>
      <c r="BB534" s="114"/>
    </row>
    <row r="535" spans="15:54" ht="19.5" x14ac:dyDescent="0.4"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26"/>
      <c r="AA535" s="13"/>
      <c r="AF535" s="117"/>
      <c r="AG535" s="123"/>
      <c r="AH535" s="123"/>
      <c r="AI535" s="123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25"/>
      <c r="AY535" s="15"/>
      <c r="BB535" s="114"/>
    </row>
    <row r="536" spans="15:54" ht="19.5" x14ac:dyDescent="0.4">
      <c r="Z536" s="26"/>
      <c r="AA536" s="13"/>
      <c r="AF536" s="117"/>
      <c r="AG536" s="123"/>
      <c r="AH536" s="123"/>
      <c r="AI536" s="123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25">
        <v>45272</v>
      </c>
      <c r="AY536" s="15" t="s">
        <v>162</v>
      </c>
      <c r="BB536" s="114"/>
    </row>
    <row r="537" spans="15:54" ht="19.5" x14ac:dyDescent="0.4">
      <c r="Z537" s="26"/>
      <c r="AA537" s="13"/>
      <c r="AF537" s="117"/>
      <c r="AG537" s="123"/>
      <c r="AH537" s="123"/>
      <c r="AI537" s="123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 t="s">
        <v>166</v>
      </c>
      <c r="AX537" s="13">
        <f>SUBTOTAL(3,AX485:AX536)</f>
        <v>13</v>
      </c>
      <c r="AY537" s="15">
        <f>SUBTOTAL(3,AY485:AY536)</f>
        <v>13</v>
      </c>
      <c r="BB537" s="114"/>
    </row>
    <row r="538" spans="15:54" ht="19.5" x14ac:dyDescent="0.4">
      <c r="R538" s="115"/>
      <c r="S538" s="115"/>
      <c r="T538" s="115"/>
      <c r="U538" s="115"/>
      <c r="V538" s="115"/>
      <c r="W538" s="115"/>
      <c r="X538" s="115"/>
      <c r="Y538" s="115"/>
      <c r="Z538" s="17"/>
      <c r="AA538" s="13"/>
      <c r="AF538" s="117"/>
      <c r="AG538" s="123"/>
      <c r="AH538" s="123"/>
      <c r="AI538" s="123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115"/>
      <c r="AW538" s="115"/>
      <c r="AX538" s="13"/>
      <c r="AY538" s="15"/>
      <c r="BB538" s="114"/>
    </row>
    <row r="539" spans="15:54" ht="19.5" x14ac:dyDescent="0.4">
      <c r="Z539" s="26"/>
      <c r="AA539" s="13"/>
      <c r="AF539" s="117"/>
      <c r="AG539" s="123"/>
      <c r="AH539" s="123"/>
      <c r="AI539" s="123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/>
      <c r="AX539" s="25">
        <v>45273</v>
      </c>
      <c r="AY539" s="105" t="s">
        <v>164</v>
      </c>
      <c r="BB539" s="114"/>
    </row>
    <row r="540" spans="15:54" ht="19.5" x14ac:dyDescent="0.4">
      <c r="Z540" s="26"/>
      <c r="AA540" s="13"/>
      <c r="AF540" s="117"/>
      <c r="AG540" s="123"/>
      <c r="AH540" s="123"/>
      <c r="AI540" s="123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115"/>
      <c r="AX540" s="25">
        <v>45273</v>
      </c>
      <c r="AY540" s="15" t="s">
        <v>164</v>
      </c>
      <c r="BB540" s="114"/>
    </row>
    <row r="541" spans="15:54" ht="19.5" x14ac:dyDescent="0.4"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26"/>
      <c r="AA541" s="13"/>
      <c r="AF541" s="117"/>
      <c r="AG541" s="123"/>
      <c r="AH541" s="123"/>
      <c r="AI541" s="123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115"/>
      <c r="AX541" s="25"/>
      <c r="AY541" s="13"/>
      <c r="BB541" s="114"/>
    </row>
    <row r="542" spans="15:54" ht="19.5" x14ac:dyDescent="0.4">
      <c r="Z542" s="26"/>
      <c r="AA542" s="13"/>
      <c r="AF542" s="117"/>
      <c r="AG542" s="123"/>
      <c r="AH542" s="123"/>
      <c r="AI542" s="123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25">
        <v>45273</v>
      </c>
      <c r="AY542" s="13" t="s">
        <v>164</v>
      </c>
      <c r="BB542" s="114"/>
    </row>
    <row r="543" spans="15:54" ht="19.5" x14ac:dyDescent="0.4">
      <c r="Z543" s="26"/>
      <c r="AA543" s="13"/>
      <c r="AF543" s="117"/>
      <c r="AG543" s="123"/>
      <c r="AH543" s="123"/>
      <c r="AI543" s="123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115"/>
      <c r="AX543" s="25">
        <v>45273</v>
      </c>
      <c r="AY543" s="15" t="s">
        <v>164</v>
      </c>
      <c r="BB543" s="114"/>
    </row>
    <row r="544" spans="15:54" ht="19.5" x14ac:dyDescent="0.4">
      <c r="Z544" s="26"/>
      <c r="AA544" s="13"/>
      <c r="AF544" s="117"/>
      <c r="AG544" s="123"/>
      <c r="AH544" s="123"/>
      <c r="AI544" s="123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115"/>
      <c r="AX544" s="25">
        <v>45273</v>
      </c>
      <c r="AY544" s="15" t="s">
        <v>162</v>
      </c>
      <c r="BB544" s="114"/>
    </row>
    <row r="545" spans="16:54" ht="19.5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26"/>
      <c r="AA545" s="13"/>
      <c r="AF545" s="117"/>
      <c r="AG545" s="123"/>
      <c r="AH545" s="123"/>
      <c r="AI545" s="123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115"/>
      <c r="AX545" s="25"/>
      <c r="AY545" s="15"/>
      <c r="BB545" s="114"/>
    </row>
    <row r="546" spans="16:54" ht="19.5" x14ac:dyDescent="0.4">
      <c r="Z546" s="26"/>
      <c r="AA546" s="13"/>
      <c r="AF546" s="117"/>
      <c r="AG546" s="123"/>
      <c r="AH546" s="123"/>
      <c r="AI546" s="123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/>
      <c r="AX546" s="25">
        <v>45273</v>
      </c>
      <c r="AY546" s="15" t="s">
        <v>162</v>
      </c>
      <c r="BB546" s="114"/>
    </row>
    <row r="547" spans="16:54" ht="19.5" x14ac:dyDescent="0.4">
      <c r="Z547" s="26"/>
      <c r="AA547" s="13"/>
      <c r="AF547" s="117"/>
      <c r="AG547" s="123"/>
      <c r="AH547" s="123"/>
      <c r="AI547" s="123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115"/>
      <c r="AX547" s="25">
        <v>45273</v>
      </c>
      <c r="AY547" s="15" t="s">
        <v>162</v>
      </c>
      <c r="BB547" s="114"/>
    </row>
    <row r="548" spans="16:54" ht="19.5" x14ac:dyDescent="0.4">
      <c r="Z548" s="26"/>
      <c r="AA548" s="13"/>
      <c r="AF548" s="117"/>
      <c r="AG548" s="123"/>
      <c r="AH548" s="123"/>
      <c r="AI548" s="123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25">
        <v>45273</v>
      </c>
      <c r="AY548" s="15" t="s">
        <v>162</v>
      </c>
      <c r="BB548" s="114"/>
    </row>
    <row r="549" spans="16:54" ht="19.5" x14ac:dyDescent="0.4"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26"/>
      <c r="AA549" s="13"/>
      <c r="AF549" s="117"/>
      <c r="AG549" s="123"/>
      <c r="AH549" s="123"/>
      <c r="AI549" s="123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115"/>
      <c r="AX549" s="25"/>
      <c r="AY549" s="15"/>
      <c r="BB549" s="114"/>
    </row>
    <row r="550" spans="16:54" ht="19.5" x14ac:dyDescent="0.4">
      <c r="Z550" s="26"/>
      <c r="AA550" s="13"/>
      <c r="AF550" s="117"/>
      <c r="AG550" s="123"/>
      <c r="AH550" s="123"/>
      <c r="AI550" s="123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25">
        <v>45273</v>
      </c>
      <c r="AY550" s="15" t="s">
        <v>162</v>
      </c>
      <c r="BB550" s="114"/>
    </row>
    <row r="551" spans="16:54" ht="19.5" x14ac:dyDescent="0.4">
      <c r="Z551" s="26"/>
      <c r="AA551" s="13"/>
      <c r="AF551" s="117"/>
      <c r="AG551" s="123"/>
      <c r="AH551" s="123"/>
      <c r="AI551" s="123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25">
        <v>45273</v>
      </c>
      <c r="AY551" s="15" t="s">
        <v>162</v>
      </c>
      <c r="BB551" s="114"/>
    </row>
    <row r="552" spans="16:54" ht="19.5" x14ac:dyDescent="0.4">
      <c r="Z552" s="26"/>
      <c r="AA552" s="13"/>
      <c r="AF552" s="117"/>
      <c r="AG552" s="123"/>
      <c r="AH552" s="123"/>
      <c r="AI552" s="123"/>
      <c r="AJ552" s="115"/>
      <c r="AK552" s="115"/>
      <c r="AL552" s="115"/>
      <c r="AM552" s="115"/>
      <c r="AN552" s="124"/>
      <c r="AO552" s="124"/>
      <c r="AP552" s="124"/>
      <c r="AQ552" s="124"/>
      <c r="AR552" s="124"/>
      <c r="AS552" s="124"/>
      <c r="AT552" s="124"/>
      <c r="AU552" s="124"/>
      <c r="AV552" s="124"/>
      <c r="AW552" s="124"/>
      <c r="AX552" s="25">
        <v>45273</v>
      </c>
      <c r="AY552" s="15" t="s">
        <v>162</v>
      </c>
      <c r="BB552" s="114"/>
    </row>
    <row r="553" spans="16:54" ht="19.5" x14ac:dyDescent="0.4">
      <c r="Z553" s="26"/>
      <c r="AA553" s="13"/>
      <c r="AF553" s="117"/>
      <c r="AG553" s="123"/>
      <c r="AH553" s="123"/>
      <c r="AI553" s="123"/>
      <c r="AJ553" s="115"/>
      <c r="AK553" s="115"/>
      <c r="AL553" s="115"/>
      <c r="AM553" s="115"/>
      <c r="AN553" s="124"/>
      <c r="AO553" s="124"/>
      <c r="AP553" s="124"/>
      <c r="AQ553" s="124"/>
      <c r="AR553" s="124"/>
      <c r="AS553" s="124"/>
      <c r="AT553" s="124"/>
      <c r="AU553" s="124"/>
      <c r="AV553" s="124"/>
      <c r="AW553" s="124"/>
      <c r="AX553" s="25">
        <v>45273</v>
      </c>
      <c r="AY553" s="15" t="s">
        <v>162</v>
      </c>
      <c r="BB553" s="114"/>
    </row>
    <row r="554" spans="16:54" ht="19.5" x14ac:dyDescent="0.4">
      <c r="R554" s="115"/>
      <c r="S554" s="115"/>
      <c r="T554" s="115"/>
      <c r="U554" s="115"/>
      <c r="V554" s="115"/>
      <c r="W554" s="115"/>
      <c r="X554" s="115"/>
      <c r="Y554" s="115"/>
      <c r="Z554" s="17"/>
      <c r="AA554" s="13"/>
      <c r="AF554" s="117"/>
      <c r="AG554" s="123"/>
      <c r="AH554" s="123"/>
      <c r="AI554" s="123"/>
      <c r="AJ554" s="115"/>
      <c r="AK554" s="115"/>
      <c r="AL554" s="115"/>
      <c r="AM554" s="115"/>
      <c r="AN554" s="124"/>
      <c r="AO554" s="124"/>
      <c r="AP554" s="124"/>
      <c r="AQ554" s="124"/>
      <c r="AR554" s="124"/>
      <c r="AS554" s="124"/>
      <c r="AT554" s="124"/>
      <c r="AU554" s="124"/>
      <c r="AV554" s="124"/>
      <c r="AW554" s="124"/>
      <c r="AX554" s="25"/>
      <c r="AY554" s="15"/>
      <c r="BB554" s="114"/>
    </row>
    <row r="555" spans="16:54" ht="19.5" x14ac:dyDescent="0.4">
      <c r="Z555" s="26"/>
      <c r="AA555" s="13"/>
      <c r="AF555" s="117"/>
      <c r="AG555" s="123"/>
      <c r="AH555" s="123"/>
      <c r="AI555" s="123"/>
      <c r="AJ555" s="115"/>
      <c r="AK555" s="115"/>
      <c r="AL555" s="115"/>
      <c r="AM555" s="115"/>
      <c r="AN555" s="124"/>
      <c r="AO555" s="124"/>
      <c r="AP555" s="124"/>
      <c r="AQ555" s="124"/>
      <c r="AR555" s="124"/>
      <c r="AS555" s="124"/>
      <c r="AT555" s="124"/>
      <c r="AU555" s="124"/>
      <c r="AV555" s="124"/>
      <c r="AW555" s="124"/>
      <c r="AX555" s="25">
        <v>45273</v>
      </c>
      <c r="AY555" s="15" t="s">
        <v>162</v>
      </c>
      <c r="BB555" s="114"/>
    </row>
    <row r="556" spans="16:54" ht="19.5" x14ac:dyDescent="0.4">
      <c r="R556" s="115"/>
      <c r="S556" s="115"/>
      <c r="T556" s="115"/>
      <c r="U556" s="115"/>
      <c r="V556" s="115"/>
      <c r="W556" s="115"/>
      <c r="X556" s="115"/>
      <c r="Y556" s="115"/>
      <c r="Z556" s="17"/>
      <c r="AA556" s="13"/>
      <c r="AF556" s="117"/>
      <c r="AG556" s="123"/>
      <c r="AH556" s="123"/>
      <c r="AI556" s="123"/>
      <c r="AJ556" s="115"/>
      <c r="AK556" s="115"/>
      <c r="AL556" s="115"/>
      <c r="AM556" s="115"/>
      <c r="AN556" s="124"/>
      <c r="AO556" s="124"/>
      <c r="AP556" s="124"/>
      <c r="AQ556" s="124"/>
      <c r="AR556" s="124"/>
      <c r="AS556" s="124"/>
      <c r="AT556" s="124"/>
      <c r="AU556" s="124"/>
      <c r="AV556" s="124"/>
      <c r="AW556" s="124"/>
      <c r="AX556" s="25"/>
      <c r="AY556" s="15"/>
      <c r="BB556" s="114"/>
    </row>
    <row r="557" spans="16:54" ht="19.5" x14ac:dyDescent="0.4">
      <c r="Z557" s="26"/>
      <c r="AA557" s="13"/>
      <c r="AF557" s="117"/>
      <c r="AG557" s="123"/>
      <c r="AH557" s="123"/>
      <c r="AI557" s="123"/>
      <c r="AJ557" s="115"/>
      <c r="AK557" s="115"/>
      <c r="AL557" s="115"/>
      <c r="AM557" s="115"/>
      <c r="AN557" s="124"/>
      <c r="AO557" s="124"/>
      <c r="AP557" s="124"/>
      <c r="AQ557" s="124"/>
      <c r="AR557" s="124"/>
      <c r="AS557" s="124"/>
      <c r="AT557" s="124"/>
      <c r="AU557" s="124"/>
      <c r="AV557" s="124"/>
      <c r="AW557" s="124"/>
      <c r="AX557" s="25">
        <v>45273</v>
      </c>
      <c r="AY557" s="15" t="s">
        <v>162</v>
      </c>
      <c r="BB557" s="114"/>
    </row>
    <row r="558" spans="16:54" ht="19.5" x14ac:dyDescent="0.4">
      <c r="Z558" s="26"/>
      <c r="AA558" s="13"/>
      <c r="AF558" s="117"/>
      <c r="AG558" s="123"/>
      <c r="AH558" s="123"/>
      <c r="AI558" s="123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25">
        <v>45273</v>
      </c>
      <c r="AY558" s="13" t="s">
        <v>162</v>
      </c>
      <c r="BB558" s="114"/>
    </row>
    <row r="559" spans="16:54" ht="19.5" x14ac:dyDescent="0.4">
      <c r="Z559" s="26"/>
      <c r="AA559" s="13"/>
      <c r="AF559" s="117"/>
      <c r="AG559" s="123"/>
      <c r="AH559" s="123"/>
      <c r="AI559" s="123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25">
        <v>45273</v>
      </c>
      <c r="AY559" s="15" t="s">
        <v>162</v>
      </c>
      <c r="BB559" s="114"/>
    </row>
    <row r="560" spans="16:54" ht="19.5" x14ac:dyDescent="0.4">
      <c r="Z560" s="26"/>
      <c r="AA560" s="13"/>
      <c r="AF560" s="117"/>
      <c r="AG560" s="123"/>
      <c r="AH560" s="123"/>
      <c r="AI560" s="123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25">
        <v>45273</v>
      </c>
      <c r="AY560" s="15" t="s">
        <v>162</v>
      </c>
      <c r="BB560" s="114"/>
    </row>
    <row r="561" spans="6:54" ht="19.5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26"/>
      <c r="AA561" s="25"/>
      <c r="AF561" s="117"/>
      <c r="AG561" s="123"/>
      <c r="AH561" s="123"/>
      <c r="AI561" s="123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25"/>
      <c r="AY561" s="15"/>
      <c r="BB561" s="114"/>
    </row>
    <row r="562" spans="6:54" ht="19.5" x14ac:dyDescent="0.4">
      <c r="Z562" s="26"/>
      <c r="AA562" s="25"/>
      <c r="AF562" s="117"/>
      <c r="AG562" s="123"/>
      <c r="AH562" s="123"/>
      <c r="AI562" s="123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25">
        <v>45273</v>
      </c>
      <c r="AY562" s="15" t="s">
        <v>162</v>
      </c>
      <c r="BB562" s="114"/>
    </row>
    <row r="563" spans="6:54" ht="19.5" x14ac:dyDescent="0.4">
      <c r="Z563" s="26"/>
      <c r="AA563" s="13"/>
      <c r="AF563" s="117"/>
      <c r="AG563" s="123"/>
      <c r="AH563" s="123"/>
      <c r="AI563" s="123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25">
        <v>45273</v>
      </c>
      <c r="AY563" s="15" t="s">
        <v>162</v>
      </c>
      <c r="BB563" s="114"/>
    </row>
    <row r="564" spans="6:54" ht="19.5" x14ac:dyDescent="0.4"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26"/>
      <c r="AA564" s="13"/>
      <c r="AF564" s="117"/>
      <c r="AG564" s="123"/>
      <c r="AH564" s="123"/>
      <c r="AI564" s="123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25"/>
      <c r="AY564" s="15"/>
      <c r="BB564" s="114"/>
    </row>
    <row r="565" spans="6:54" ht="19.5" x14ac:dyDescent="0.4"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26"/>
      <c r="AA565" s="13"/>
      <c r="AF565" s="117"/>
      <c r="AG565" s="123"/>
      <c r="AH565" s="123"/>
      <c r="AI565" s="123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25"/>
      <c r="AY565" s="15"/>
      <c r="BB565" s="114"/>
    </row>
    <row r="566" spans="6:54" ht="19.5" x14ac:dyDescent="0.4">
      <c r="Z566" s="26"/>
      <c r="AA566" s="13"/>
      <c r="AF566" s="117"/>
      <c r="AG566" s="123"/>
      <c r="AH566" s="123"/>
      <c r="AI566" s="123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15"/>
      <c r="AU566" s="115"/>
      <c r="AV566" s="115"/>
      <c r="AW566" s="115"/>
      <c r="AX566" s="25">
        <v>45273</v>
      </c>
      <c r="AY566" s="15" t="s">
        <v>162</v>
      </c>
      <c r="BB566" s="114"/>
    </row>
    <row r="567" spans="6:54" ht="19.5" x14ac:dyDescent="0.4">
      <c r="Z567" s="26"/>
      <c r="AA567" s="13"/>
      <c r="AF567" s="117"/>
      <c r="AG567" s="123"/>
      <c r="AH567" s="123"/>
      <c r="AI567" s="123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25">
        <v>45273</v>
      </c>
      <c r="AY567" s="15" t="s">
        <v>162</v>
      </c>
      <c r="BB567" s="114"/>
    </row>
    <row r="568" spans="6:54" ht="19.5" x14ac:dyDescent="0.4">
      <c r="Z568" s="26"/>
      <c r="AA568" s="13"/>
      <c r="AF568" s="117"/>
      <c r="AG568" s="123"/>
      <c r="AH568" s="123"/>
      <c r="AI568" s="123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15"/>
      <c r="AU568" s="115"/>
      <c r="AV568" s="115"/>
      <c r="AW568" s="115"/>
      <c r="AX568" s="25">
        <v>45273</v>
      </c>
      <c r="AY568" s="13" t="s">
        <v>163</v>
      </c>
      <c r="BB568" s="114"/>
    </row>
    <row r="569" spans="6:54" ht="19.5" x14ac:dyDescent="0.4">
      <c r="Z569" s="26"/>
      <c r="AA569" s="13"/>
      <c r="AF569" s="117"/>
      <c r="AG569" s="123"/>
      <c r="AH569" s="123"/>
      <c r="AI569" s="123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15"/>
      <c r="AU569" s="115"/>
      <c r="AV569" s="115"/>
      <c r="AW569" s="115"/>
      <c r="AX569" s="25"/>
      <c r="AY569" s="13"/>
      <c r="BB569" s="114"/>
    </row>
    <row r="570" spans="6:54" ht="19.5" x14ac:dyDescent="0.4">
      <c r="Z570" s="26"/>
      <c r="AA570" s="13"/>
      <c r="AF570" s="117"/>
      <c r="AG570" s="123"/>
      <c r="AH570" s="123"/>
      <c r="AI570" s="123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115" t="s">
        <v>152</v>
      </c>
      <c r="AX570" s="13">
        <f>SUBTOTAL(3,AX539:AX568)</f>
        <v>22</v>
      </c>
      <c r="AY570" s="13">
        <f>SUBTOTAL(3,AY539:AY568)</f>
        <v>22</v>
      </c>
      <c r="BB570" s="114"/>
    </row>
    <row r="571" spans="6:54" ht="19.5" x14ac:dyDescent="0.4">
      <c r="Z571" s="26"/>
      <c r="AA571" s="13"/>
      <c r="AF571" s="117"/>
      <c r="AG571" s="123"/>
      <c r="AH571" s="123"/>
      <c r="AI571" s="123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15"/>
      <c r="AU571" s="115"/>
      <c r="AV571" s="115"/>
      <c r="AW571" s="115"/>
      <c r="AX571" s="25">
        <v>45274</v>
      </c>
      <c r="AY571" s="15" t="s">
        <v>162</v>
      </c>
      <c r="BB571" s="114"/>
    </row>
    <row r="572" spans="6:54" ht="19.5" x14ac:dyDescent="0.4"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26"/>
      <c r="AA572" s="13"/>
      <c r="AF572" s="117"/>
      <c r="AG572" s="123"/>
      <c r="AH572" s="123"/>
      <c r="AI572" s="123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25"/>
      <c r="AY572" s="15"/>
      <c r="BB572" s="114"/>
    </row>
    <row r="573" spans="6:54" ht="19.5" x14ac:dyDescent="0.4"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26"/>
      <c r="AA573" s="13"/>
      <c r="AF573" s="117"/>
      <c r="AG573" s="123"/>
      <c r="AH573" s="123"/>
      <c r="AI573" s="123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115"/>
      <c r="AU573" s="115"/>
      <c r="AV573" s="115"/>
      <c r="AW573" s="115"/>
      <c r="AX573" s="25"/>
      <c r="AY573" s="15"/>
      <c r="BB573" s="114"/>
    </row>
    <row r="574" spans="6:54" ht="19.5" x14ac:dyDescent="0.4">
      <c r="Z574" s="26"/>
      <c r="AA574" s="13"/>
      <c r="AF574" s="117"/>
      <c r="AG574" s="123"/>
      <c r="AH574" s="123"/>
      <c r="AI574" s="123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25">
        <v>45274</v>
      </c>
      <c r="AY574" s="15" t="s">
        <v>162</v>
      </c>
      <c r="BB574" s="114"/>
    </row>
    <row r="575" spans="6:54" ht="19.5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26"/>
      <c r="AA575" s="13"/>
      <c r="AF575" s="117"/>
      <c r="AG575" s="123"/>
      <c r="AH575" s="123"/>
      <c r="AI575" s="123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15"/>
      <c r="AU575" s="115"/>
      <c r="AV575" s="115"/>
      <c r="AW575" s="115"/>
      <c r="AX575" s="25"/>
      <c r="AY575" s="15"/>
      <c r="BB575" s="114"/>
    </row>
    <row r="576" spans="6:54" ht="19.5" x14ac:dyDescent="0.4"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26"/>
      <c r="AA576" s="13"/>
      <c r="AF576" s="117"/>
      <c r="AG576" s="123"/>
      <c r="AH576" s="123"/>
      <c r="AI576" s="123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25"/>
      <c r="AY576" s="15"/>
      <c r="BB576" s="114"/>
    </row>
    <row r="577" spans="6:54" ht="19.5" x14ac:dyDescent="0.4"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26"/>
      <c r="AA577" s="13"/>
      <c r="AF577" s="117"/>
      <c r="AG577" s="123"/>
      <c r="AH577" s="123"/>
      <c r="AI577" s="123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15"/>
      <c r="AU577" s="115"/>
      <c r="AV577" s="115"/>
      <c r="AW577" s="115"/>
      <c r="AX577" s="25"/>
      <c r="AY577" s="15"/>
      <c r="BB577" s="114"/>
    </row>
    <row r="578" spans="6:54" ht="19.5" x14ac:dyDescent="0.4">
      <c r="Z578" s="26"/>
      <c r="AA578" s="13"/>
      <c r="AF578" s="117"/>
      <c r="AG578" s="123"/>
      <c r="AH578" s="123"/>
      <c r="AI578" s="123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15"/>
      <c r="AU578" s="115"/>
      <c r="AV578" s="115"/>
      <c r="AW578" s="115"/>
      <c r="AX578" s="25">
        <v>45274</v>
      </c>
      <c r="AY578" s="15" t="s">
        <v>162</v>
      </c>
      <c r="BB578" s="114"/>
    </row>
    <row r="579" spans="6:54" ht="19.5" x14ac:dyDescent="0.4"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26"/>
      <c r="AA579" s="13"/>
      <c r="AF579" s="117"/>
      <c r="AG579" s="123"/>
      <c r="AH579" s="123"/>
      <c r="AI579" s="123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15"/>
      <c r="AU579" s="115"/>
      <c r="AV579" s="115"/>
      <c r="AW579" s="115"/>
      <c r="AX579" s="25"/>
      <c r="AY579" s="15"/>
      <c r="BB579" s="114"/>
    </row>
    <row r="580" spans="6:54" ht="19.5" x14ac:dyDescent="0.4">
      <c r="Z580" s="26"/>
      <c r="AA580" s="13"/>
      <c r="AF580" s="117"/>
      <c r="AG580" s="123"/>
      <c r="AH580" s="123"/>
      <c r="AI580" s="123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25">
        <v>45274</v>
      </c>
      <c r="AY580" s="15" t="s">
        <v>162</v>
      </c>
      <c r="BB580" s="114"/>
    </row>
    <row r="581" spans="6:54" ht="19.5" x14ac:dyDescent="0.4">
      <c r="Z581" s="26"/>
      <c r="AA581" s="13"/>
      <c r="AF581" s="117"/>
      <c r="AG581" s="123"/>
      <c r="AH581" s="123"/>
      <c r="AI581" s="123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15"/>
      <c r="AU581" s="115"/>
      <c r="AV581" s="115"/>
      <c r="AW581" s="115"/>
      <c r="AX581" s="25">
        <v>45274</v>
      </c>
      <c r="AY581" s="15" t="s">
        <v>163</v>
      </c>
      <c r="BB581" s="114"/>
    </row>
    <row r="582" spans="6:54" ht="19.5" x14ac:dyDescent="0.4">
      <c r="R582" s="115"/>
      <c r="S582" s="115"/>
      <c r="T582" s="115"/>
      <c r="U582" s="115"/>
      <c r="V582" s="115"/>
      <c r="W582" s="115"/>
      <c r="X582" s="115"/>
      <c r="Y582" s="115"/>
      <c r="Z582" s="17"/>
      <c r="AA582" s="13"/>
      <c r="AF582" s="117"/>
      <c r="AG582" s="123"/>
      <c r="AH582" s="123"/>
      <c r="AI582" s="123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25"/>
      <c r="AY582" s="15"/>
      <c r="BB582" s="114"/>
    </row>
    <row r="583" spans="6:54" ht="19.5" x14ac:dyDescent="0.4"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26"/>
      <c r="AA583" s="13"/>
      <c r="AF583" s="117"/>
      <c r="AG583" s="123"/>
      <c r="AH583" s="123"/>
      <c r="AI583" s="123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115"/>
      <c r="AU583" s="115"/>
      <c r="AV583" s="115"/>
      <c r="AW583" s="115"/>
      <c r="AX583" s="25"/>
      <c r="AY583" s="15"/>
      <c r="BB583" s="114"/>
    </row>
    <row r="584" spans="6:54" ht="19.5" x14ac:dyDescent="0.4">
      <c r="Z584" s="26"/>
      <c r="AA584" s="25"/>
      <c r="AF584" s="117"/>
      <c r="AG584" s="123"/>
      <c r="AH584" s="123"/>
      <c r="AI584" s="123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115" t="s">
        <v>167</v>
      </c>
      <c r="AX584" s="13">
        <f>SUBTOTAL(3,AX571:AX581)</f>
        <v>5</v>
      </c>
      <c r="AY584" s="15">
        <f>SUBTOTAL(3,AY571:AY581)</f>
        <v>5</v>
      </c>
      <c r="BB584" s="114"/>
    </row>
    <row r="585" spans="6:54" ht="19.5" x14ac:dyDescent="0.4"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26"/>
      <c r="AA585" s="105"/>
      <c r="AF585" s="117"/>
      <c r="AG585" s="123"/>
      <c r="AH585" s="123"/>
      <c r="AI585" s="123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15"/>
      <c r="AT585" s="115"/>
      <c r="AU585" s="115"/>
      <c r="AV585" s="115"/>
      <c r="AW585" s="115"/>
      <c r="AX585" s="13"/>
      <c r="AY585" s="15"/>
      <c r="BB585" s="114"/>
    </row>
    <row r="586" spans="6:54" ht="19.5" x14ac:dyDescent="0.4">
      <c r="Z586" s="26"/>
      <c r="AA586" s="105"/>
      <c r="AF586" s="117"/>
      <c r="AG586" s="123"/>
      <c r="AH586" s="123"/>
      <c r="AI586" s="123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115"/>
      <c r="AU586" s="115"/>
      <c r="AV586" s="115"/>
      <c r="AW586" s="115"/>
      <c r="AX586" s="13"/>
      <c r="AY586" s="15"/>
      <c r="BB586" s="114"/>
    </row>
    <row r="587" spans="6:54" ht="19.5" x14ac:dyDescent="0.4">
      <c r="R587" s="115"/>
      <c r="S587" s="115"/>
      <c r="T587" s="115"/>
      <c r="U587" s="115"/>
      <c r="V587" s="115"/>
      <c r="W587" s="115"/>
      <c r="X587" s="115"/>
      <c r="Y587" s="115"/>
      <c r="Z587" s="17"/>
      <c r="AA587" s="15"/>
      <c r="AF587" s="117"/>
      <c r="AG587" s="123"/>
      <c r="AH587" s="123"/>
      <c r="AI587" s="123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15"/>
      <c r="AU587" s="115"/>
      <c r="AV587" s="115"/>
      <c r="AW587" s="115"/>
      <c r="AX587" s="13"/>
      <c r="AY587" s="15"/>
      <c r="BB587" s="114"/>
    </row>
    <row r="588" spans="6:54" ht="19.5" x14ac:dyDescent="0.4"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26"/>
      <c r="AA588" s="15"/>
      <c r="AF588" s="117"/>
      <c r="AG588" s="123"/>
      <c r="AH588" s="123"/>
      <c r="AI588" s="123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3"/>
      <c r="AY588" s="15"/>
      <c r="BB588" s="114"/>
    </row>
    <row r="589" spans="6:54" ht="19.5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26"/>
      <c r="AA589" s="15"/>
      <c r="AF589" s="117"/>
      <c r="AG589" s="123"/>
      <c r="AH589" s="123"/>
      <c r="AI589" s="123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3"/>
      <c r="AY589" s="15"/>
      <c r="BB589" s="114"/>
    </row>
    <row r="590" spans="6:54" ht="19.5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26"/>
      <c r="AA590" s="15"/>
      <c r="AF590" s="117"/>
      <c r="AG590" s="123"/>
      <c r="AH590" s="123"/>
      <c r="AI590" s="123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3"/>
      <c r="AY590" s="15"/>
      <c r="BB590" s="114"/>
    </row>
    <row r="591" spans="6:54" ht="19.5" x14ac:dyDescent="0.4"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26"/>
      <c r="AA591" s="15"/>
      <c r="AF591" s="117"/>
      <c r="AG591" s="123"/>
      <c r="AH591" s="123"/>
      <c r="AI591" s="123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15"/>
      <c r="AU591" s="115"/>
      <c r="AV591" s="115"/>
      <c r="AW591" s="115"/>
      <c r="AX591" s="13"/>
      <c r="AY591" s="15"/>
      <c r="BB591" s="114"/>
    </row>
    <row r="592" spans="6:54" ht="19.5" x14ac:dyDescent="0.4">
      <c r="Z592" s="26"/>
      <c r="AA592" s="15"/>
      <c r="AF592" s="117"/>
      <c r="AG592" s="123"/>
      <c r="AH592" s="123"/>
      <c r="AI592" s="123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25">
        <v>45275</v>
      </c>
      <c r="AY592" s="15" t="s">
        <v>163</v>
      </c>
      <c r="BB592" s="114"/>
    </row>
    <row r="593" spans="6:54" ht="19.5" x14ac:dyDescent="0.4">
      <c r="Z593" s="26"/>
      <c r="AA593" s="15"/>
      <c r="AF593" s="117"/>
      <c r="AG593" s="123"/>
      <c r="AH593" s="123"/>
      <c r="AI593" s="123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15"/>
      <c r="AU593" s="115"/>
      <c r="AV593" s="115"/>
      <c r="AW593" s="115" t="s">
        <v>168</v>
      </c>
      <c r="AX593" s="13">
        <f>SUBTOTAL(3,AX592:AX592)</f>
        <v>1</v>
      </c>
      <c r="AY593" s="15">
        <f>SUBTOTAL(3,AY592:AY592)</f>
        <v>1</v>
      </c>
      <c r="BB593" s="114"/>
    </row>
    <row r="594" spans="6:54" ht="19.5" x14ac:dyDescent="0.4">
      <c r="Z594" s="26"/>
      <c r="AA594" s="15"/>
      <c r="AF594" s="117"/>
      <c r="AG594" s="123"/>
      <c r="AH594" s="123"/>
      <c r="AI594" s="123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25">
        <v>45276</v>
      </c>
      <c r="AY594" s="15" t="s">
        <v>164</v>
      </c>
      <c r="BB594" s="114"/>
    </row>
    <row r="595" spans="6:54" ht="19.5" x14ac:dyDescent="0.4">
      <c r="Z595" s="26"/>
      <c r="AA595" s="15"/>
      <c r="AF595" s="117"/>
      <c r="AG595" s="123"/>
      <c r="AH595" s="123"/>
      <c r="AI595" s="123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25">
        <v>45276</v>
      </c>
      <c r="AY595" s="15" t="s">
        <v>162</v>
      </c>
      <c r="BB595" s="114"/>
    </row>
    <row r="596" spans="6:54" ht="19.5" x14ac:dyDescent="0.4">
      <c r="Z596" s="26"/>
      <c r="AA596" s="15"/>
      <c r="AF596" s="117"/>
      <c r="AG596" s="123"/>
      <c r="AH596" s="123"/>
      <c r="AI596" s="123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15"/>
      <c r="AU596" s="115"/>
      <c r="AV596" s="115"/>
      <c r="AW596" s="115"/>
      <c r="AX596" s="25">
        <v>45276</v>
      </c>
      <c r="AY596" s="15" t="s">
        <v>162</v>
      </c>
      <c r="BB596" s="114"/>
    </row>
    <row r="597" spans="6:54" ht="19.5" x14ac:dyDescent="0.4">
      <c r="Z597" s="26"/>
      <c r="AA597" s="15"/>
      <c r="AF597" s="117"/>
      <c r="AG597" s="123"/>
      <c r="AH597" s="123"/>
      <c r="AI597" s="123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115"/>
      <c r="AU597" s="115"/>
      <c r="AV597" s="115"/>
      <c r="AW597" s="115"/>
      <c r="AX597" s="25">
        <v>45276</v>
      </c>
      <c r="AY597" s="15" t="s">
        <v>162</v>
      </c>
      <c r="BB597" s="114"/>
    </row>
    <row r="598" spans="6:54" ht="19.5" x14ac:dyDescent="0.4">
      <c r="Z598" s="26"/>
      <c r="AA598" s="15"/>
      <c r="AF598" s="117"/>
      <c r="AG598" s="123"/>
      <c r="AH598" s="123"/>
      <c r="AI598" s="123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115"/>
      <c r="AU598" s="115"/>
      <c r="AV598" s="115"/>
      <c r="AW598" s="115"/>
      <c r="AX598" s="25">
        <v>45276</v>
      </c>
      <c r="AY598" s="15" t="s">
        <v>162</v>
      </c>
      <c r="BB598" s="114"/>
    </row>
    <row r="599" spans="6:54" ht="19.5" x14ac:dyDescent="0.4"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26"/>
      <c r="AA599" s="15"/>
      <c r="AF599" s="117"/>
      <c r="AG599" s="123"/>
      <c r="AH599" s="123"/>
      <c r="AI599" s="123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15"/>
      <c r="AU599" s="115"/>
      <c r="AV599" s="115"/>
      <c r="AW599" s="115"/>
      <c r="AX599" s="25"/>
      <c r="AY599" s="15"/>
      <c r="BB599" s="114"/>
    </row>
    <row r="600" spans="6:54" ht="19.5" x14ac:dyDescent="0.4">
      <c r="Z600" s="26"/>
      <c r="AA600" s="15"/>
      <c r="AF600" s="117"/>
      <c r="AG600" s="123"/>
      <c r="AH600" s="123"/>
      <c r="AI600" s="123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25">
        <v>45276</v>
      </c>
      <c r="AY600" s="15" t="s">
        <v>162</v>
      </c>
      <c r="BB600" s="114"/>
    </row>
    <row r="601" spans="6:54" ht="19.5" x14ac:dyDescent="0.4">
      <c r="Z601" s="26"/>
      <c r="AA601" s="15"/>
      <c r="AF601" s="117"/>
      <c r="AG601" s="123"/>
      <c r="AH601" s="123"/>
      <c r="AI601" s="123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25">
        <v>45276</v>
      </c>
      <c r="AY601" s="15" t="s">
        <v>162</v>
      </c>
      <c r="BB601" s="114"/>
    </row>
    <row r="602" spans="6:54" ht="19.5" x14ac:dyDescent="0.4">
      <c r="R602" s="115"/>
      <c r="S602" s="115"/>
      <c r="T602" s="115"/>
      <c r="U602" s="115"/>
      <c r="V602" s="115"/>
      <c r="W602" s="115"/>
      <c r="X602" s="115"/>
      <c r="Y602" s="115"/>
      <c r="Z602" s="17"/>
      <c r="AA602" s="15"/>
      <c r="AF602" s="117"/>
      <c r="AG602" s="123"/>
      <c r="AH602" s="123"/>
      <c r="AI602" s="123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25"/>
      <c r="AY602" s="15"/>
      <c r="BB602" s="114"/>
    </row>
    <row r="603" spans="6:54" ht="19.5" x14ac:dyDescent="0.4"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26"/>
      <c r="AA603" s="15"/>
      <c r="AF603" s="117"/>
      <c r="AG603" s="123"/>
      <c r="AH603" s="123"/>
      <c r="AI603" s="123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25"/>
      <c r="AY603" s="15"/>
      <c r="BB603" s="114"/>
    </row>
    <row r="604" spans="6:54" ht="19.5" x14ac:dyDescent="0.4"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26"/>
      <c r="AA604" s="15"/>
      <c r="AF604" s="117"/>
      <c r="AG604" s="123"/>
      <c r="AH604" s="123"/>
      <c r="AI604" s="123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115"/>
      <c r="AV604" s="115"/>
      <c r="AW604" s="115"/>
      <c r="AX604" s="25"/>
      <c r="AY604" s="15"/>
      <c r="BB604" s="114"/>
    </row>
    <row r="605" spans="6:54" ht="19.5" x14ac:dyDescent="0.4"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26"/>
      <c r="AA605" s="15"/>
      <c r="AF605" s="117"/>
      <c r="AG605" s="123"/>
      <c r="AH605" s="123"/>
      <c r="AI605" s="123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115"/>
      <c r="AV605" s="115"/>
      <c r="AW605" s="115"/>
      <c r="AX605" s="25"/>
      <c r="AY605" s="15"/>
      <c r="BB605" s="114"/>
    </row>
    <row r="606" spans="6:54" ht="19.5" x14ac:dyDescent="0.4">
      <c r="Z606" s="26"/>
      <c r="AA606" s="15"/>
      <c r="AE606" s="115"/>
      <c r="AF606" s="117"/>
      <c r="AG606" s="123"/>
      <c r="AH606" s="123"/>
      <c r="AI606" s="123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25">
        <v>45276</v>
      </c>
      <c r="AY606" s="15" t="s">
        <v>162</v>
      </c>
      <c r="BB606" s="114"/>
    </row>
    <row r="607" spans="6:54" ht="19.5" x14ac:dyDescent="0.4">
      <c r="Z607" s="26"/>
      <c r="AA607" s="15"/>
      <c r="AE607" s="115"/>
      <c r="AF607" s="117"/>
      <c r="AG607" s="123"/>
      <c r="AH607" s="123"/>
      <c r="AI607" s="123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25">
        <v>45276</v>
      </c>
      <c r="AY607" s="15" t="s">
        <v>162</v>
      </c>
      <c r="BB607" s="114"/>
    </row>
    <row r="608" spans="6:54" ht="19.5" x14ac:dyDescent="0.4">
      <c r="Z608" s="26"/>
      <c r="AA608" s="15"/>
      <c r="AE608" s="115"/>
      <c r="AF608" s="117"/>
      <c r="AG608" s="123"/>
      <c r="AH608" s="123"/>
      <c r="AI608" s="123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25">
        <v>45276</v>
      </c>
      <c r="AY608" s="15" t="s">
        <v>162</v>
      </c>
      <c r="BB608" s="114"/>
    </row>
    <row r="609" spans="6:54" ht="19.5" x14ac:dyDescent="0.4">
      <c r="R609" s="115"/>
      <c r="S609" s="115"/>
      <c r="T609" s="115"/>
      <c r="U609" s="115"/>
      <c r="V609" s="115"/>
      <c r="W609" s="115"/>
      <c r="X609" s="115"/>
      <c r="Y609" s="115"/>
      <c r="Z609" s="17"/>
      <c r="AA609" s="15"/>
      <c r="AE609" s="115"/>
      <c r="AF609" s="117"/>
      <c r="AG609" s="123"/>
      <c r="AH609" s="123"/>
      <c r="AI609" s="123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25"/>
      <c r="AY609" s="15"/>
      <c r="BB609" s="114"/>
    </row>
    <row r="610" spans="6:54" ht="19.5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26"/>
      <c r="AA610" s="15"/>
      <c r="AE610" s="115"/>
      <c r="AF610" s="117"/>
      <c r="AG610" s="123"/>
      <c r="AH610" s="123"/>
      <c r="AI610" s="123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115"/>
      <c r="AV610" s="115"/>
      <c r="AW610" s="115"/>
      <c r="AX610" s="25"/>
      <c r="AY610" s="15"/>
      <c r="BB610" s="114"/>
    </row>
    <row r="611" spans="6:54" ht="19.5" x14ac:dyDescent="0.4"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7"/>
      <c r="AA611" s="15"/>
      <c r="AE611" s="115"/>
      <c r="AF611" s="117"/>
      <c r="AG611" s="123"/>
      <c r="AH611" s="123"/>
      <c r="AI611" s="123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115"/>
      <c r="AV611" s="115"/>
      <c r="AW611" s="115"/>
      <c r="AX611" s="25"/>
      <c r="AY611" s="15"/>
      <c r="BB611" s="114"/>
    </row>
    <row r="612" spans="6:54" ht="19.5" x14ac:dyDescent="0.4">
      <c r="Z612" s="26"/>
      <c r="AA612" s="15"/>
      <c r="AE612" s="115"/>
      <c r="AF612" s="117"/>
      <c r="AG612" s="123"/>
      <c r="AH612" s="123"/>
      <c r="AI612" s="123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115"/>
      <c r="AV612" s="115"/>
      <c r="AW612" s="115"/>
      <c r="AX612" s="25"/>
      <c r="AY612" s="15"/>
      <c r="BB612" s="114"/>
    </row>
    <row r="613" spans="6:54" ht="19.5" x14ac:dyDescent="0.4"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26"/>
      <c r="AA613" s="15"/>
      <c r="AE613" s="115"/>
      <c r="AF613" s="117"/>
      <c r="AG613" s="123"/>
      <c r="AH613" s="123"/>
      <c r="AI613" s="123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115"/>
      <c r="AV613" s="115"/>
      <c r="AW613" s="115"/>
      <c r="AX613" s="25"/>
      <c r="AY613" s="15"/>
      <c r="BB613" s="114"/>
    </row>
    <row r="614" spans="6:54" ht="19.5" x14ac:dyDescent="0.4">
      <c r="Z614" s="26"/>
      <c r="AA614" s="15"/>
      <c r="AE614" s="115"/>
      <c r="AF614" s="117"/>
      <c r="AG614" s="123"/>
      <c r="AH614" s="123"/>
      <c r="AI614" s="123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115"/>
      <c r="AV614" s="115"/>
      <c r="AW614" s="115"/>
      <c r="AX614" s="25">
        <v>45276</v>
      </c>
      <c r="AY614" s="15" t="s">
        <v>162</v>
      </c>
      <c r="BB614" s="114"/>
    </row>
    <row r="615" spans="6:54" ht="19.5" x14ac:dyDescent="0.4">
      <c r="R615" s="115"/>
      <c r="S615" s="115"/>
      <c r="T615" s="115"/>
      <c r="U615" s="115"/>
      <c r="V615" s="115"/>
      <c r="W615" s="115"/>
      <c r="X615" s="115"/>
      <c r="Y615" s="115"/>
      <c r="Z615" s="17"/>
      <c r="AA615" s="15"/>
      <c r="AE615" s="115"/>
      <c r="AF615" s="117"/>
      <c r="AG615" s="123"/>
      <c r="AH615" s="123"/>
      <c r="AI615" s="123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15"/>
      <c r="AU615" s="115"/>
      <c r="AV615" s="115"/>
      <c r="AW615" s="115"/>
      <c r="AX615" s="25"/>
      <c r="AY615" s="15"/>
      <c r="BB615" s="114"/>
    </row>
    <row r="616" spans="6:54" ht="19.5" x14ac:dyDescent="0.4">
      <c r="Z616" s="26"/>
      <c r="AA616" s="15"/>
      <c r="AE616" s="115"/>
      <c r="AF616" s="117"/>
      <c r="AG616" s="123"/>
      <c r="AH616" s="123"/>
      <c r="AI616" s="123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25">
        <v>45276</v>
      </c>
      <c r="AY616" s="15" t="s">
        <v>162</v>
      </c>
      <c r="BB616" s="114"/>
    </row>
    <row r="617" spans="6:54" ht="19.5" x14ac:dyDescent="0.4">
      <c r="R617" s="115"/>
      <c r="S617" s="115"/>
      <c r="T617" s="115"/>
      <c r="U617" s="115"/>
      <c r="V617" s="115"/>
      <c r="W617" s="115"/>
      <c r="X617" s="115"/>
      <c r="Y617" s="115"/>
      <c r="Z617" s="17"/>
      <c r="AA617" s="15"/>
      <c r="AE617" s="115"/>
      <c r="AF617" s="117"/>
      <c r="AG617" s="123"/>
      <c r="AH617" s="123"/>
      <c r="AI617" s="123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25"/>
      <c r="AY617" s="15"/>
      <c r="BB617" s="114"/>
    </row>
    <row r="618" spans="6:54" ht="19.5" x14ac:dyDescent="0.4">
      <c r="Q618" s="115"/>
      <c r="R618" s="115"/>
      <c r="S618" s="115"/>
      <c r="T618" s="115"/>
      <c r="U618" s="115"/>
      <c r="V618" s="115"/>
      <c r="W618" s="115"/>
      <c r="X618" s="115"/>
      <c r="Y618" s="115"/>
      <c r="Z618" s="26"/>
      <c r="AA618" s="15"/>
      <c r="AE618" s="115"/>
      <c r="AF618" s="117"/>
      <c r="AG618" s="123"/>
      <c r="AH618" s="123"/>
      <c r="AI618" s="123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25"/>
      <c r="AY618" s="15"/>
      <c r="BB618" s="114"/>
    </row>
    <row r="619" spans="6:54" ht="19.5" x14ac:dyDescent="0.4">
      <c r="Q619" s="115"/>
      <c r="R619" s="115"/>
      <c r="S619" s="115"/>
      <c r="T619" s="115"/>
      <c r="U619" s="115"/>
      <c r="V619" s="115"/>
      <c r="W619" s="115"/>
      <c r="X619" s="115"/>
      <c r="Y619" s="115"/>
      <c r="Z619" s="17"/>
      <c r="AA619" s="15"/>
      <c r="AE619" s="115"/>
      <c r="AF619" s="117"/>
      <c r="AG619" s="123"/>
      <c r="AH619" s="123"/>
      <c r="AI619" s="123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25"/>
      <c r="AY619" s="15"/>
      <c r="BB619" s="114"/>
    </row>
    <row r="620" spans="6:54" ht="19.5" x14ac:dyDescent="0.4">
      <c r="Z620" s="26"/>
      <c r="AA620" s="15"/>
      <c r="AE620" s="115"/>
      <c r="AF620" s="117"/>
      <c r="AG620" s="123"/>
      <c r="AH620" s="123"/>
      <c r="AI620" s="123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25">
        <v>45276</v>
      </c>
      <c r="AY620" s="15" t="s">
        <v>162</v>
      </c>
      <c r="BB620" s="114"/>
    </row>
    <row r="621" spans="6:54" ht="19.5" x14ac:dyDescent="0.4">
      <c r="Z621" s="26"/>
      <c r="AA621" s="15"/>
      <c r="AE621" s="115"/>
      <c r="AF621" s="117"/>
      <c r="AG621" s="123"/>
      <c r="AH621" s="123"/>
      <c r="AI621" s="123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25">
        <v>45276</v>
      </c>
      <c r="AY621" s="15" t="s">
        <v>162</v>
      </c>
      <c r="BB621" s="114"/>
    </row>
    <row r="622" spans="6:54" ht="19.5" x14ac:dyDescent="0.4">
      <c r="Z622" s="26"/>
      <c r="AA622" s="15"/>
      <c r="AE622" s="115"/>
      <c r="AF622" s="117"/>
      <c r="AG622" s="123"/>
      <c r="AH622" s="123"/>
      <c r="AI622" s="123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25">
        <v>45276</v>
      </c>
      <c r="AY622" s="15" t="s">
        <v>162</v>
      </c>
      <c r="BB622" s="114"/>
    </row>
    <row r="623" spans="6:54" ht="19.5" x14ac:dyDescent="0.4">
      <c r="Z623" s="26"/>
      <c r="AA623" s="15"/>
      <c r="AE623" s="115"/>
      <c r="AF623" s="117"/>
      <c r="AG623" s="123"/>
      <c r="AH623" s="123"/>
      <c r="AI623" s="123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25"/>
      <c r="AY623" s="15"/>
      <c r="BB623" s="114"/>
    </row>
    <row r="624" spans="6:54" ht="19.5" x14ac:dyDescent="0.4">
      <c r="R624" s="115"/>
      <c r="S624" s="115"/>
      <c r="T624" s="115"/>
      <c r="U624" s="115"/>
      <c r="V624" s="115"/>
      <c r="W624" s="115"/>
      <c r="X624" s="115"/>
      <c r="Y624" s="115"/>
      <c r="Z624" s="17"/>
      <c r="AA624" s="15"/>
      <c r="AE624" s="115"/>
      <c r="AF624" s="117"/>
      <c r="AG624" s="123"/>
      <c r="AH624" s="123"/>
      <c r="AI624" s="123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25"/>
      <c r="AY624" s="15"/>
      <c r="BB624" s="114"/>
    </row>
    <row r="625" spans="15:54" ht="19.5" x14ac:dyDescent="0.4">
      <c r="Z625" s="26"/>
      <c r="AA625" s="15"/>
      <c r="AE625" s="115"/>
      <c r="AF625" s="117"/>
      <c r="AG625" s="123"/>
      <c r="AH625" s="123"/>
      <c r="AI625" s="123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115"/>
      <c r="AW625" s="115"/>
      <c r="AX625" s="25">
        <v>45276</v>
      </c>
      <c r="AY625" s="15" t="s">
        <v>162</v>
      </c>
      <c r="BB625" s="114"/>
    </row>
    <row r="626" spans="15:54" ht="19.5" x14ac:dyDescent="0.4">
      <c r="Z626" s="26"/>
      <c r="AA626" s="15"/>
      <c r="AE626" s="115"/>
      <c r="AF626" s="117"/>
      <c r="AG626" s="123"/>
      <c r="AH626" s="123"/>
      <c r="AI626" s="123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25">
        <v>45276</v>
      </c>
      <c r="AY626" s="15" t="s">
        <v>162</v>
      </c>
      <c r="BB626" s="114"/>
    </row>
    <row r="627" spans="15:54" ht="19.5" x14ac:dyDescent="0.4">
      <c r="R627" s="115"/>
      <c r="S627" s="115"/>
      <c r="T627" s="115"/>
      <c r="U627" s="115"/>
      <c r="V627" s="115"/>
      <c r="W627" s="115"/>
      <c r="X627" s="115"/>
      <c r="Y627" s="115"/>
      <c r="Z627" s="17"/>
      <c r="AA627" s="15"/>
      <c r="AE627" s="115"/>
      <c r="AF627" s="117"/>
      <c r="AG627" s="123"/>
      <c r="AH627" s="123"/>
      <c r="AI627" s="123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25"/>
      <c r="AY627" s="15"/>
      <c r="BB627" s="114"/>
    </row>
    <row r="628" spans="15:54" ht="19.5" x14ac:dyDescent="0.4"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26"/>
      <c r="AA628" s="15"/>
      <c r="AE628" s="115"/>
      <c r="AF628" s="117"/>
      <c r="AG628" s="123"/>
      <c r="AH628" s="123"/>
      <c r="AI628" s="123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25"/>
      <c r="AY628" s="15"/>
      <c r="BB628" s="114"/>
    </row>
    <row r="629" spans="15:54" ht="19.5" x14ac:dyDescent="0.4"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7"/>
      <c r="AA629" s="15"/>
      <c r="AE629" s="115"/>
      <c r="AF629" s="117"/>
      <c r="AG629" s="123"/>
      <c r="AH629" s="123"/>
      <c r="AI629" s="123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25"/>
      <c r="AY629" s="15"/>
      <c r="BB629" s="114"/>
    </row>
    <row r="630" spans="15:54" ht="19.5" x14ac:dyDescent="0.4"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26"/>
      <c r="AA630" s="15"/>
      <c r="AE630" s="115"/>
      <c r="AF630" s="117"/>
      <c r="AG630" s="123"/>
      <c r="AH630" s="123"/>
      <c r="AI630" s="123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25"/>
      <c r="AY630" s="15"/>
      <c r="BB630" s="114"/>
    </row>
    <row r="631" spans="15:54" ht="19.5" x14ac:dyDescent="0.4">
      <c r="Z631" s="26"/>
      <c r="AA631" s="15"/>
      <c r="AE631" s="115"/>
      <c r="AF631" s="117"/>
      <c r="AG631" s="123"/>
      <c r="AH631" s="123"/>
      <c r="AI631" s="123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115"/>
      <c r="AW631" s="115" t="s">
        <v>169</v>
      </c>
      <c r="AX631" s="13">
        <f>SUBTOTAL(3,AX594:AX626)</f>
        <v>17</v>
      </c>
      <c r="AY631" s="15">
        <f>SUBTOTAL(3,AY594:AY626)</f>
        <v>17</v>
      </c>
      <c r="BB631" s="114"/>
    </row>
    <row r="632" spans="15:54" ht="19.5" x14ac:dyDescent="0.4"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26"/>
      <c r="AA632" s="15"/>
      <c r="AE632" s="115"/>
      <c r="AF632" s="117"/>
      <c r="AG632" s="123"/>
      <c r="AH632" s="123"/>
      <c r="AI632" s="123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115"/>
      <c r="AW632" s="115"/>
      <c r="AX632" s="13"/>
      <c r="AY632" s="15"/>
      <c r="BB632" s="114"/>
    </row>
    <row r="633" spans="15:54" ht="19.5" x14ac:dyDescent="0.4">
      <c r="Z633" s="26"/>
      <c r="AA633" s="15"/>
      <c r="AE633" s="115"/>
      <c r="AF633" s="117"/>
      <c r="AG633" s="123"/>
      <c r="AH633" s="123"/>
      <c r="AI633" s="123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115"/>
      <c r="AW633" s="115"/>
      <c r="AX633" s="25">
        <v>45277</v>
      </c>
      <c r="AY633" s="15" t="s">
        <v>162</v>
      </c>
      <c r="BB633" s="114"/>
    </row>
    <row r="634" spans="15:54" ht="19.5" x14ac:dyDescent="0.4">
      <c r="R634" s="115"/>
      <c r="S634" s="115"/>
      <c r="T634" s="115"/>
      <c r="U634" s="115"/>
      <c r="V634" s="115"/>
      <c r="W634" s="115"/>
      <c r="X634" s="115"/>
      <c r="Y634" s="115"/>
      <c r="Z634" s="17"/>
      <c r="AA634" s="15"/>
      <c r="AE634" s="115"/>
      <c r="AF634" s="117"/>
      <c r="AG634" s="123"/>
      <c r="AH634" s="123"/>
      <c r="AI634" s="123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115"/>
      <c r="AW634" s="115"/>
      <c r="AX634" s="25"/>
      <c r="AY634" s="15"/>
      <c r="BB634" s="114"/>
    </row>
    <row r="635" spans="15:54" ht="19.5" x14ac:dyDescent="0.4"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26"/>
      <c r="AA635" s="15"/>
      <c r="AE635" s="115"/>
      <c r="AF635" s="117"/>
      <c r="AG635" s="123"/>
      <c r="AH635" s="123"/>
      <c r="AI635" s="123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115"/>
      <c r="AW635" s="115"/>
      <c r="AX635" s="25"/>
      <c r="AY635" s="15"/>
      <c r="BB635" s="114"/>
    </row>
    <row r="636" spans="15:54" ht="19.5" x14ac:dyDescent="0.4"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7"/>
      <c r="AA636" s="15"/>
      <c r="AE636" s="115"/>
      <c r="AF636" s="117"/>
      <c r="AG636" s="123"/>
      <c r="AH636" s="123"/>
      <c r="AI636" s="123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115"/>
      <c r="AW636" s="115"/>
      <c r="AX636" s="25"/>
      <c r="AY636" s="15"/>
      <c r="BB636" s="114"/>
    </row>
    <row r="637" spans="15:54" ht="19.5" x14ac:dyDescent="0.4"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7"/>
      <c r="AA637" s="15"/>
      <c r="AE637" s="115"/>
      <c r="AF637" s="117"/>
      <c r="AG637" s="123"/>
      <c r="AH637" s="123"/>
      <c r="AI637" s="123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115"/>
      <c r="AW637" s="115"/>
      <c r="AX637" s="25"/>
      <c r="AY637" s="15"/>
      <c r="BB637" s="114"/>
    </row>
    <row r="638" spans="15:54" ht="19.5" x14ac:dyDescent="0.4">
      <c r="Z638" s="26"/>
      <c r="AA638" s="15"/>
      <c r="AE638" s="115"/>
      <c r="AF638" s="117"/>
      <c r="AG638" s="123"/>
      <c r="AH638" s="123"/>
      <c r="AI638" s="123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25">
        <v>45277</v>
      </c>
      <c r="AY638" s="15" t="s">
        <v>162</v>
      </c>
      <c r="BB638" s="114"/>
    </row>
    <row r="639" spans="15:54" ht="19.5" x14ac:dyDescent="0.4">
      <c r="Q639" s="115"/>
      <c r="R639" s="115"/>
      <c r="S639" s="115"/>
      <c r="T639" s="115"/>
      <c r="U639" s="115"/>
      <c r="V639" s="115"/>
      <c r="W639" s="115"/>
      <c r="X639" s="115"/>
      <c r="Y639" s="115"/>
      <c r="Z639" s="17"/>
      <c r="AA639" s="15"/>
      <c r="AE639" s="115"/>
      <c r="AF639" s="117"/>
      <c r="AG639" s="123"/>
      <c r="AH639" s="123"/>
      <c r="AI639" s="123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31"/>
      <c r="AY639" s="13"/>
      <c r="BB639" s="114"/>
    </row>
    <row r="640" spans="15:54" ht="19.5" x14ac:dyDescent="0.4">
      <c r="Z640" s="26"/>
      <c r="AA640" s="15"/>
      <c r="AE640" s="115"/>
      <c r="AF640" s="117"/>
      <c r="AG640" s="123"/>
      <c r="AH640" s="123"/>
      <c r="AI640" s="123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26">
        <v>45277</v>
      </c>
      <c r="AY640" s="13" t="s">
        <v>162</v>
      </c>
      <c r="BB640" s="114"/>
    </row>
    <row r="641" spans="6:54" ht="19.5" x14ac:dyDescent="0.4">
      <c r="Z641" s="26"/>
      <c r="AA641" s="15"/>
      <c r="AE641" s="115"/>
      <c r="AF641" s="117"/>
      <c r="AG641" s="123"/>
      <c r="AH641" s="123"/>
      <c r="AI641" s="123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26">
        <v>45277</v>
      </c>
      <c r="AY641" s="15" t="s">
        <v>162</v>
      </c>
      <c r="BB641" s="114"/>
    </row>
    <row r="642" spans="6:54" ht="19.5" x14ac:dyDescent="0.4"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26"/>
      <c r="AA642" s="15"/>
      <c r="AE642" s="115"/>
      <c r="AF642" s="117"/>
      <c r="AG642" s="123"/>
      <c r="AH642" s="123"/>
      <c r="AI642" s="123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26"/>
      <c r="AY642" s="15"/>
      <c r="BB642" s="114"/>
    </row>
    <row r="643" spans="6:54" ht="19.5" x14ac:dyDescent="0.4">
      <c r="Z643" s="26"/>
      <c r="AA643" s="15"/>
      <c r="AE643" s="115"/>
      <c r="AF643" s="117"/>
      <c r="AG643" s="123"/>
      <c r="AH643" s="123"/>
      <c r="AI643" s="123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26">
        <v>45277</v>
      </c>
      <c r="AY643" s="15" t="s">
        <v>162</v>
      </c>
      <c r="BB643" s="114"/>
    </row>
    <row r="644" spans="6:54" ht="19.5" x14ac:dyDescent="0.4">
      <c r="Z644" s="26"/>
      <c r="AA644" s="15"/>
      <c r="AE644" s="115"/>
      <c r="AF644" s="117"/>
      <c r="AG644" s="123"/>
      <c r="AH644" s="123"/>
      <c r="AI644" s="123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115" t="s">
        <v>160</v>
      </c>
      <c r="AX644" s="17">
        <f>SUBTOTAL(3,AX633:AX643)</f>
        <v>5</v>
      </c>
      <c r="AY644" s="15">
        <f>SUBTOTAL(3,AY633:AY643)</f>
        <v>5</v>
      </c>
      <c r="BB644" s="114"/>
    </row>
    <row r="645" spans="6:54" ht="19.5" x14ac:dyDescent="0.4"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26"/>
      <c r="AA645" s="15"/>
      <c r="AE645" s="115"/>
      <c r="AF645" s="117"/>
      <c r="AG645" s="123"/>
      <c r="AH645" s="123"/>
      <c r="AI645" s="123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115"/>
      <c r="AW645" s="115"/>
      <c r="AX645" s="17"/>
      <c r="AY645" s="15"/>
      <c r="BB645" s="114"/>
    </row>
    <row r="646" spans="6:54" ht="19.5" x14ac:dyDescent="0.4"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26"/>
      <c r="AA646" s="15"/>
      <c r="AE646" s="115"/>
      <c r="AF646" s="117"/>
      <c r="AG646" s="123"/>
      <c r="AH646" s="123"/>
      <c r="AI646" s="123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7"/>
      <c r="AY646" s="15"/>
      <c r="BB646" s="114"/>
    </row>
    <row r="647" spans="6:54" ht="19.5" x14ac:dyDescent="0.4">
      <c r="Z647" s="26"/>
      <c r="AA647" s="15"/>
      <c r="AE647" s="115"/>
      <c r="AF647" s="117"/>
      <c r="AG647" s="123"/>
      <c r="AH647" s="123"/>
      <c r="AI647" s="123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26">
        <v>45278</v>
      </c>
      <c r="AY647" s="15" t="s">
        <v>164</v>
      </c>
      <c r="BB647" s="114"/>
    </row>
    <row r="648" spans="6:54" ht="19.5" x14ac:dyDescent="0.4">
      <c r="Z648" s="26"/>
      <c r="AA648" s="15"/>
      <c r="AE648" s="115"/>
      <c r="AF648" s="117"/>
      <c r="AG648" s="123"/>
      <c r="AH648" s="123"/>
      <c r="AI648" s="123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26">
        <v>45278</v>
      </c>
      <c r="AY648" s="15" t="s">
        <v>164</v>
      </c>
      <c r="BB648" s="114"/>
    </row>
    <row r="649" spans="6:54" ht="19.5" x14ac:dyDescent="0.4"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26"/>
      <c r="AA649" s="15"/>
      <c r="AE649" s="115"/>
      <c r="AF649" s="117"/>
      <c r="AG649" s="123"/>
      <c r="AH649" s="123"/>
      <c r="AI649" s="123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115"/>
      <c r="AX649" s="26"/>
      <c r="AY649" s="15"/>
      <c r="BB649" s="114"/>
    </row>
    <row r="650" spans="6:54" ht="19.5" x14ac:dyDescent="0.4">
      <c r="Z650" s="26"/>
      <c r="AA650" s="15"/>
      <c r="AE650" s="115"/>
      <c r="AF650" s="117"/>
      <c r="AG650" s="123"/>
      <c r="AH650" s="123"/>
      <c r="AI650" s="123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26">
        <v>45278</v>
      </c>
      <c r="AY650" s="15" t="s">
        <v>162</v>
      </c>
      <c r="BB650" s="114"/>
    </row>
    <row r="651" spans="6:54" ht="19.5" x14ac:dyDescent="0.4">
      <c r="Q651" s="115"/>
      <c r="R651" s="115"/>
      <c r="S651" s="115"/>
      <c r="T651" s="115"/>
      <c r="U651" s="115"/>
      <c r="V651" s="115"/>
      <c r="W651" s="115"/>
      <c r="X651" s="115"/>
      <c r="Y651" s="115"/>
      <c r="Z651" s="17"/>
      <c r="AA651" s="15"/>
      <c r="AE651" s="115"/>
      <c r="AF651" s="117"/>
      <c r="AG651" s="123"/>
      <c r="AH651" s="123"/>
      <c r="AI651" s="123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26"/>
      <c r="AY651" s="15"/>
      <c r="BB651" s="114"/>
    </row>
    <row r="652" spans="6:54" ht="19.5" x14ac:dyDescent="0.4"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26"/>
      <c r="AA652" s="15"/>
      <c r="AE652" s="115"/>
      <c r="AF652" s="117"/>
      <c r="AG652" s="123"/>
      <c r="AH652" s="123"/>
      <c r="AI652" s="123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26"/>
      <c r="AY652" s="15"/>
      <c r="BB652" s="114"/>
    </row>
    <row r="653" spans="6:54" ht="19.5" x14ac:dyDescent="0.4"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7"/>
      <c r="AA653" s="15"/>
      <c r="AE653" s="115"/>
      <c r="AF653" s="117"/>
      <c r="AG653" s="123"/>
      <c r="AH653" s="123"/>
      <c r="AI653" s="123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26"/>
      <c r="AY653" s="15"/>
      <c r="BB653" s="114"/>
    </row>
    <row r="654" spans="6:54" ht="19.5" x14ac:dyDescent="0.4">
      <c r="Z654" s="26"/>
      <c r="AA654" s="15"/>
      <c r="AE654" s="115"/>
      <c r="AF654" s="117"/>
      <c r="AG654" s="123"/>
      <c r="AH654" s="123"/>
      <c r="AI654" s="123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115"/>
      <c r="AX654" s="26">
        <v>45278</v>
      </c>
      <c r="AY654" s="15" t="s">
        <v>142</v>
      </c>
      <c r="BB654" s="114"/>
    </row>
    <row r="655" spans="6:54" ht="19.5" x14ac:dyDescent="0.4">
      <c r="Z655" s="26"/>
      <c r="AA655" s="15"/>
      <c r="AE655" s="115"/>
      <c r="AF655" s="117"/>
      <c r="AG655" s="123"/>
      <c r="AH655" s="123"/>
      <c r="AI655" s="123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115"/>
      <c r="AX655" s="26">
        <v>45278</v>
      </c>
      <c r="AY655" s="15" t="s">
        <v>162</v>
      </c>
      <c r="BB655" s="114"/>
    </row>
    <row r="656" spans="6:54" ht="19.5" x14ac:dyDescent="0.4">
      <c r="Z656" s="26"/>
      <c r="AA656" s="15"/>
      <c r="AE656" s="115"/>
      <c r="AF656" s="117"/>
      <c r="AG656" s="123"/>
      <c r="AH656" s="123"/>
      <c r="AI656" s="123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115"/>
      <c r="AV656" s="115"/>
      <c r="AW656" s="115"/>
      <c r="AX656" s="26">
        <v>45278</v>
      </c>
      <c r="AY656" s="15" t="s">
        <v>162</v>
      </c>
      <c r="BB656" s="114"/>
    </row>
    <row r="657" spans="6:54" ht="19.5" x14ac:dyDescent="0.4">
      <c r="Q657" s="115"/>
      <c r="R657" s="115"/>
      <c r="S657" s="115"/>
      <c r="T657" s="115"/>
      <c r="U657" s="115"/>
      <c r="V657" s="115"/>
      <c r="W657" s="115"/>
      <c r="X657" s="115"/>
      <c r="Y657" s="115"/>
      <c r="Z657" s="17"/>
      <c r="AA657" s="15"/>
      <c r="AE657" s="115"/>
      <c r="AF657" s="117"/>
      <c r="AG657" s="123"/>
      <c r="AH657" s="123"/>
      <c r="AI657" s="123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115"/>
      <c r="AW657" s="115"/>
      <c r="AX657" s="26"/>
      <c r="AY657" s="15"/>
      <c r="BB657" s="114"/>
    </row>
    <row r="658" spans="6:54" ht="19.5" x14ac:dyDescent="0.4"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26"/>
      <c r="AA658" s="15"/>
      <c r="AE658" s="115"/>
      <c r="AF658" s="117"/>
      <c r="AG658" s="123"/>
      <c r="AH658" s="123"/>
      <c r="AI658" s="123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115"/>
      <c r="AX658" s="26"/>
      <c r="AY658" s="15"/>
      <c r="BB658" s="114"/>
    </row>
    <row r="659" spans="6:54" ht="19.5" x14ac:dyDescent="0.4"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26"/>
      <c r="AA659" s="15"/>
      <c r="AE659" s="115"/>
      <c r="AF659" s="117"/>
      <c r="AG659" s="123"/>
      <c r="AH659" s="123"/>
      <c r="AI659" s="123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115"/>
      <c r="AX659" s="26"/>
      <c r="AY659" s="15"/>
      <c r="BB659" s="114"/>
    </row>
    <row r="660" spans="6:54" ht="19.5" x14ac:dyDescent="0.4"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7"/>
      <c r="AA660" s="15"/>
      <c r="AE660" s="115"/>
      <c r="AF660" s="117"/>
      <c r="AG660" s="123"/>
      <c r="AH660" s="123"/>
      <c r="AI660" s="123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26"/>
      <c r="AY660" s="15"/>
      <c r="BB660" s="114"/>
    </row>
    <row r="661" spans="6:54" ht="19.5" x14ac:dyDescent="0.4"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26"/>
      <c r="AA661" s="15"/>
      <c r="AE661" s="115"/>
      <c r="AF661" s="117"/>
      <c r="AG661" s="123"/>
      <c r="AH661" s="123"/>
      <c r="AI661" s="123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26"/>
      <c r="AY661" s="15"/>
      <c r="BB661" s="114"/>
    </row>
    <row r="662" spans="6:54" ht="19.5" x14ac:dyDescent="0.4">
      <c r="Z662" s="26"/>
      <c r="AA662" s="15"/>
      <c r="AE662" s="115"/>
      <c r="AF662" s="117"/>
      <c r="AG662" s="123"/>
      <c r="AH662" s="123"/>
      <c r="AI662" s="123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26">
        <v>45278</v>
      </c>
      <c r="AY662" s="15" t="s">
        <v>162</v>
      </c>
      <c r="BB662" s="114"/>
    </row>
    <row r="663" spans="6:54" ht="19.5" x14ac:dyDescent="0.4"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26"/>
      <c r="AA663" s="15"/>
      <c r="AE663" s="115"/>
      <c r="AF663" s="117"/>
      <c r="AG663" s="123"/>
      <c r="AH663" s="123"/>
      <c r="AI663" s="123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26"/>
      <c r="AY663" s="15"/>
      <c r="BB663" s="114"/>
    </row>
    <row r="664" spans="6:54" ht="19.5" x14ac:dyDescent="0.4">
      <c r="Z664" s="26"/>
      <c r="AA664" s="15"/>
      <c r="AE664" s="115"/>
      <c r="AF664" s="117"/>
      <c r="AG664" s="123"/>
      <c r="AH664" s="123"/>
      <c r="AI664" s="123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26">
        <v>45278</v>
      </c>
      <c r="AY664" s="15" t="s">
        <v>163</v>
      </c>
      <c r="BB664" s="114"/>
    </row>
    <row r="665" spans="6:54" ht="19.5" x14ac:dyDescent="0.4">
      <c r="Z665" s="26"/>
      <c r="AA665" s="15"/>
      <c r="AE665" s="115"/>
      <c r="AF665" s="117"/>
      <c r="AG665" s="123"/>
      <c r="AH665" s="123"/>
      <c r="AI665" s="123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26">
        <v>45278</v>
      </c>
      <c r="AY665" s="105" t="s">
        <v>163</v>
      </c>
      <c r="BB665" s="114"/>
    </row>
    <row r="666" spans="6:54" ht="19.5" x14ac:dyDescent="0.4">
      <c r="Z666" s="25"/>
      <c r="AA666" s="13"/>
      <c r="AE666" s="115"/>
      <c r="AF666" s="117"/>
      <c r="AG666" s="123"/>
      <c r="AH666" s="123"/>
      <c r="AI666" s="123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26">
        <v>45278</v>
      </c>
      <c r="AY666" s="15" t="s">
        <v>163</v>
      </c>
      <c r="BB666" s="114"/>
    </row>
    <row r="667" spans="6:54" ht="19.5" x14ac:dyDescent="0.4"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25"/>
      <c r="AA667" s="13"/>
      <c r="AE667" s="115"/>
      <c r="AF667" s="117"/>
      <c r="AG667" s="123"/>
      <c r="AH667" s="123"/>
      <c r="AI667" s="123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115"/>
      <c r="AX667" s="26"/>
      <c r="AY667" s="15"/>
      <c r="BB667" s="114"/>
    </row>
    <row r="668" spans="6:54" ht="19.5" x14ac:dyDescent="0.4"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25"/>
      <c r="AA668" s="13"/>
      <c r="AE668" s="115"/>
      <c r="AF668" s="117"/>
      <c r="AG668" s="123"/>
      <c r="AH668" s="123"/>
      <c r="AI668" s="123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26"/>
      <c r="AY668" s="15"/>
      <c r="BB668" s="114"/>
    </row>
    <row r="669" spans="6:54" ht="19.5" x14ac:dyDescent="0.4"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25"/>
      <c r="AA669" s="13"/>
      <c r="AE669" s="115"/>
      <c r="AF669" s="117"/>
      <c r="AG669" s="123"/>
      <c r="AH669" s="123"/>
      <c r="AI669" s="123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26"/>
      <c r="AY669" s="15"/>
      <c r="BB669" s="114"/>
    </row>
    <row r="670" spans="6:54" ht="19.5" x14ac:dyDescent="0.4"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25"/>
      <c r="AA670" s="13"/>
      <c r="AE670" s="115"/>
      <c r="AF670" s="117"/>
      <c r="AG670" s="123"/>
      <c r="AH670" s="123"/>
      <c r="AI670" s="123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26"/>
      <c r="AY670" s="15"/>
      <c r="BB670" s="114"/>
    </row>
    <row r="671" spans="6:54" ht="19.5" x14ac:dyDescent="0.4"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25"/>
      <c r="AA671" s="13"/>
      <c r="AE671" s="115"/>
      <c r="AF671" s="117"/>
      <c r="AG671" s="123"/>
      <c r="AH671" s="123"/>
      <c r="AI671" s="123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115"/>
      <c r="AX671" s="26"/>
      <c r="AY671" s="15"/>
      <c r="BB671" s="114"/>
    </row>
    <row r="672" spans="6:54" ht="19.5" x14ac:dyDescent="0.4"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25"/>
      <c r="AA672" s="13"/>
      <c r="AE672" s="115"/>
      <c r="AF672" s="117"/>
      <c r="AG672" s="123"/>
      <c r="AH672" s="123"/>
      <c r="AI672" s="123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26"/>
      <c r="AY672" s="15"/>
      <c r="BB672" s="114"/>
    </row>
    <row r="673" spans="17:54" ht="19.5" x14ac:dyDescent="0.4">
      <c r="Z673" s="25"/>
      <c r="AA673" s="13"/>
      <c r="AE673" s="115"/>
      <c r="AF673" s="117"/>
      <c r="AG673" s="123"/>
      <c r="AH673" s="123"/>
      <c r="AI673" s="123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26">
        <v>45278</v>
      </c>
      <c r="AY673" s="15" t="s">
        <v>163</v>
      </c>
      <c r="BB673" s="114"/>
    </row>
    <row r="674" spans="17:54" ht="19.5" x14ac:dyDescent="0.4">
      <c r="Z674" s="25"/>
      <c r="AA674" s="13"/>
      <c r="AE674" s="115"/>
      <c r="AF674" s="117"/>
      <c r="AG674" s="123"/>
      <c r="AH674" s="123"/>
      <c r="AI674" s="123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115"/>
      <c r="AX674" s="26"/>
      <c r="AY674" s="15"/>
      <c r="BB674" s="114"/>
    </row>
    <row r="675" spans="17:54" ht="19.5" x14ac:dyDescent="0.4">
      <c r="Q675" s="115"/>
      <c r="R675" s="115"/>
      <c r="S675" s="115"/>
      <c r="T675" s="115"/>
      <c r="U675" s="115"/>
      <c r="V675" s="115"/>
      <c r="W675" s="115"/>
      <c r="X675" s="115"/>
      <c r="Y675" s="115"/>
      <c r="Z675" s="13"/>
      <c r="AA675" s="13"/>
      <c r="AE675" s="115"/>
      <c r="AF675" s="117"/>
      <c r="AG675" s="123"/>
      <c r="AH675" s="123"/>
      <c r="AI675" s="123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26"/>
      <c r="AY675" s="15"/>
      <c r="BB675" s="114"/>
    </row>
    <row r="676" spans="17:54" ht="19.5" x14ac:dyDescent="0.4">
      <c r="Z676" s="25"/>
      <c r="AA676" s="13"/>
      <c r="AE676" s="115"/>
      <c r="AF676" s="117"/>
      <c r="AG676" s="123"/>
      <c r="AH676" s="123"/>
      <c r="AI676" s="123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26">
        <v>45278</v>
      </c>
      <c r="AY676" s="15" t="s">
        <v>163</v>
      </c>
      <c r="BB676" s="114"/>
    </row>
    <row r="677" spans="17:54" ht="19.5" x14ac:dyDescent="0.4">
      <c r="Q677" s="115"/>
      <c r="R677" s="115"/>
      <c r="S677" s="115"/>
      <c r="T677" s="115"/>
      <c r="U677" s="115"/>
      <c r="V677" s="115"/>
      <c r="W677" s="115"/>
      <c r="X677" s="115"/>
      <c r="Y677" s="115"/>
      <c r="Z677" s="13"/>
      <c r="AA677" s="13"/>
      <c r="AE677" s="115"/>
      <c r="AF677" s="117"/>
      <c r="AG677" s="123"/>
      <c r="AH677" s="123"/>
      <c r="AI677" s="123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115"/>
      <c r="AX677" s="26"/>
      <c r="AY677" s="13"/>
      <c r="BB677" s="114"/>
    </row>
    <row r="678" spans="17:54" ht="19.5" x14ac:dyDescent="0.4">
      <c r="Z678" s="25"/>
      <c r="AA678" s="13"/>
      <c r="AE678" s="115"/>
      <c r="AF678" s="117"/>
      <c r="AG678" s="123"/>
      <c r="AH678" s="123"/>
      <c r="AI678" s="123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115" t="s">
        <v>153</v>
      </c>
      <c r="AX678" s="17">
        <f>SUBTOTAL(3,AX647:AX676)</f>
        <v>12</v>
      </c>
      <c r="AY678" s="13">
        <f>SUBTOTAL(3,AY647:AY676)</f>
        <v>12</v>
      </c>
      <c r="BB678" s="114"/>
    </row>
    <row r="679" spans="17:54" ht="19.5" x14ac:dyDescent="0.4">
      <c r="Q679" s="115"/>
      <c r="R679" s="115"/>
      <c r="S679" s="115"/>
      <c r="T679" s="115"/>
      <c r="U679" s="115"/>
      <c r="V679" s="115"/>
      <c r="W679" s="115"/>
      <c r="X679" s="115"/>
      <c r="Y679" s="115"/>
      <c r="Z679" s="13"/>
      <c r="AA679" s="13"/>
      <c r="AE679" s="115"/>
      <c r="AF679" s="117"/>
      <c r="AG679" s="123"/>
      <c r="AH679" s="123"/>
      <c r="AI679" s="123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115"/>
      <c r="AX679" s="17"/>
      <c r="AY679" s="13"/>
      <c r="BB679" s="114"/>
    </row>
    <row r="680" spans="17:54" ht="19.5" x14ac:dyDescent="0.4">
      <c r="Z680" s="25"/>
      <c r="AA680" s="13"/>
      <c r="AE680" s="115"/>
      <c r="AF680" s="117"/>
      <c r="AG680" s="123"/>
      <c r="AH680" s="123"/>
      <c r="AI680" s="123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26">
        <v>45279</v>
      </c>
      <c r="AY680" s="25" t="s">
        <v>162</v>
      </c>
      <c r="BB680" s="114"/>
    </row>
    <row r="681" spans="17:54" ht="19.5" x14ac:dyDescent="0.4">
      <c r="Z681" s="25"/>
      <c r="AA681" s="13"/>
      <c r="AE681" s="115"/>
      <c r="AF681" s="117"/>
      <c r="AG681" s="123"/>
      <c r="AH681" s="123"/>
      <c r="AI681" s="123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26">
        <v>45279</v>
      </c>
      <c r="AY681" s="13" t="s">
        <v>162</v>
      </c>
      <c r="BB681" s="114"/>
    </row>
    <row r="682" spans="17:54" ht="19.5" x14ac:dyDescent="0.4">
      <c r="Q682" s="115"/>
      <c r="R682" s="115"/>
      <c r="S682" s="115"/>
      <c r="T682" s="115"/>
      <c r="U682" s="115"/>
      <c r="V682" s="115"/>
      <c r="W682" s="115"/>
      <c r="X682" s="115"/>
      <c r="Y682" s="115"/>
      <c r="Z682" s="20"/>
      <c r="AA682" s="13"/>
      <c r="AE682" s="115"/>
      <c r="AF682" s="117"/>
      <c r="AG682" s="123"/>
      <c r="AH682" s="123"/>
      <c r="AI682" s="123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26"/>
      <c r="AY682" s="13"/>
      <c r="BB682" s="114"/>
    </row>
    <row r="683" spans="17:54" ht="19.5" x14ac:dyDescent="0.4">
      <c r="Q683" s="115"/>
      <c r="R683" s="115"/>
      <c r="S683" s="115"/>
      <c r="T683" s="115"/>
      <c r="U683" s="115"/>
      <c r="V683" s="115"/>
      <c r="W683" s="115"/>
      <c r="X683" s="115"/>
      <c r="Y683" s="115"/>
      <c r="Z683" s="20"/>
      <c r="AA683" s="13"/>
      <c r="AE683" s="115"/>
      <c r="AF683" s="117"/>
      <c r="AG683" s="123"/>
      <c r="AH683" s="123"/>
      <c r="AI683" s="123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26"/>
      <c r="AY683" s="13"/>
      <c r="BB683" s="114"/>
    </row>
    <row r="684" spans="17:54" ht="19.5" x14ac:dyDescent="0.4">
      <c r="Z684" s="26"/>
      <c r="AA684" s="13"/>
      <c r="AE684" s="115"/>
      <c r="AF684" s="117"/>
      <c r="AG684" s="123"/>
      <c r="AH684" s="123"/>
      <c r="AI684" s="123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26">
        <v>45279</v>
      </c>
      <c r="AY684" s="13" t="s">
        <v>162</v>
      </c>
      <c r="BB684" s="114"/>
    </row>
    <row r="685" spans="17:54" ht="19.5" x14ac:dyDescent="0.4">
      <c r="Z685" s="26"/>
      <c r="AA685" s="13"/>
      <c r="AE685" s="115"/>
      <c r="AF685" s="117"/>
      <c r="AG685" s="123"/>
      <c r="AH685" s="123"/>
      <c r="AI685" s="123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26">
        <v>45279</v>
      </c>
      <c r="AY685" s="13" t="s">
        <v>162</v>
      </c>
      <c r="BB685" s="114"/>
    </row>
    <row r="686" spans="17:54" ht="19.5" x14ac:dyDescent="0.4">
      <c r="Z686" s="129"/>
      <c r="AA686" s="13"/>
      <c r="AE686" s="115"/>
      <c r="AF686" s="117"/>
      <c r="AG686" s="123"/>
      <c r="AH686" s="123"/>
      <c r="AI686" s="123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26"/>
      <c r="AY686" s="13"/>
      <c r="BB686" s="114"/>
    </row>
    <row r="687" spans="17:54" ht="19.5" x14ac:dyDescent="0.4">
      <c r="Z687" s="26"/>
      <c r="AA687" s="13"/>
      <c r="AE687" s="115"/>
      <c r="AF687" s="117"/>
      <c r="AG687" s="123"/>
      <c r="AH687" s="123"/>
      <c r="AI687" s="123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26">
        <v>45279</v>
      </c>
      <c r="AY687" s="13" t="s">
        <v>162</v>
      </c>
      <c r="BB687" s="114"/>
    </row>
    <row r="688" spans="17:54" ht="19.5" x14ac:dyDescent="0.4">
      <c r="Z688" s="26"/>
      <c r="AA688" s="13"/>
      <c r="AE688" s="115"/>
      <c r="AF688" s="117"/>
      <c r="AG688" s="123"/>
      <c r="AH688" s="123"/>
      <c r="AI688" s="123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26">
        <v>45279</v>
      </c>
      <c r="AY688" s="13" t="s">
        <v>162</v>
      </c>
      <c r="BB688" s="114"/>
    </row>
    <row r="689" spans="26:54" ht="19.5" x14ac:dyDescent="0.4">
      <c r="Z689" s="26"/>
      <c r="AA689" s="13"/>
      <c r="AE689" s="115"/>
      <c r="AF689" s="117"/>
      <c r="AG689" s="123"/>
      <c r="AH689" s="123"/>
      <c r="AI689" s="123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115"/>
      <c r="AW689" s="115" t="s">
        <v>170</v>
      </c>
      <c r="AX689" s="17">
        <f>SUBTOTAL(3,AX680:AX688)</f>
        <v>6</v>
      </c>
      <c r="AY689" s="13">
        <f>SUBTOTAL(3,AY680:AY688)</f>
        <v>6</v>
      </c>
      <c r="BB689" s="114"/>
    </row>
    <row r="690" spans="26:54" ht="19.5" x14ac:dyDescent="0.4">
      <c r="Z690" s="129"/>
      <c r="AA690" s="13"/>
      <c r="AE690" s="115"/>
      <c r="AF690" s="117"/>
      <c r="AG690" s="123"/>
      <c r="AH690" s="123"/>
      <c r="AI690" s="123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17"/>
      <c r="AY690" s="13"/>
      <c r="BB690" s="114"/>
    </row>
    <row r="691" spans="26:54" ht="19.5" x14ac:dyDescent="0.4">
      <c r="Z691" s="26"/>
      <c r="AA691" s="13"/>
      <c r="AE691" s="115"/>
      <c r="AF691" s="117"/>
      <c r="AG691" s="123"/>
      <c r="AH691" s="123"/>
      <c r="AI691" s="123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26">
        <v>45280</v>
      </c>
      <c r="AY691" s="13" t="s">
        <v>162</v>
      </c>
      <c r="BB691" s="114"/>
    </row>
    <row r="692" spans="26:54" ht="19.5" x14ac:dyDescent="0.4">
      <c r="Z692" s="26"/>
      <c r="AA692" s="13"/>
      <c r="AE692" s="115"/>
      <c r="AF692" s="116"/>
      <c r="AG692" s="123"/>
      <c r="AH692" s="123"/>
      <c r="AI692" s="123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26">
        <v>45280</v>
      </c>
      <c r="AY692" s="13" t="s">
        <v>162</v>
      </c>
      <c r="BB692" s="114"/>
    </row>
    <row r="693" spans="26:54" ht="19.5" x14ac:dyDescent="0.4">
      <c r="Z693" s="26"/>
      <c r="AA693" s="13"/>
      <c r="AE693" s="115"/>
      <c r="AF693" s="116"/>
      <c r="AG693" s="123"/>
      <c r="AH693" s="123"/>
      <c r="AI693" s="123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26">
        <v>45280</v>
      </c>
      <c r="AY693" s="13" t="s">
        <v>162</v>
      </c>
      <c r="BB693" s="114"/>
    </row>
    <row r="694" spans="26:54" ht="19.5" x14ac:dyDescent="0.4">
      <c r="Z694" s="26"/>
      <c r="AA694" s="13"/>
      <c r="AE694" s="115"/>
      <c r="AF694" s="116"/>
      <c r="AG694" s="123"/>
      <c r="AH694" s="123"/>
      <c r="AI694" s="123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26">
        <v>45280</v>
      </c>
      <c r="AY694" s="13" t="s">
        <v>162</v>
      </c>
      <c r="BB694" s="114"/>
    </row>
    <row r="695" spans="26:54" ht="19.5" x14ac:dyDescent="0.4">
      <c r="Z695" s="129"/>
      <c r="AA695" s="13"/>
      <c r="AE695" s="115"/>
      <c r="AF695" s="116"/>
      <c r="AG695" s="123"/>
      <c r="AH695" s="123"/>
      <c r="AI695" s="123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26"/>
      <c r="AY695" s="13"/>
      <c r="BB695" s="114"/>
    </row>
    <row r="696" spans="26:54" ht="19.5" x14ac:dyDescent="0.4">
      <c r="Z696" s="26"/>
      <c r="AA696" s="13"/>
      <c r="AE696" s="115"/>
      <c r="AF696" s="116"/>
      <c r="AG696" s="123"/>
      <c r="AH696" s="123"/>
      <c r="AI696" s="123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15"/>
      <c r="AU696" s="115"/>
      <c r="AV696" s="115"/>
      <c r="AW696" s="115"/>
      <c r="AX696" s="26">
        <v>45280</v>
      </c>
      <c r="AY696" s="13" t="s">
        <v>162</v>
      </c>
      <c r="BB696" s="114"/>
    </row>
    <row r="697" spans="26:54" ht="19.5" x14ac:dyDescent="0.4">
      <c r="Z697" s="130"/>
      <c r="AA697" s="119"/>
      <c r="AE697" s="115"/>
      <c r="AF697" s="116"/>
      <c r="AG697" s="123"/>
      <c r="AH697" s="123"/>
      <c r="AI697" s="123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15"/>
      <c r="AU697" s="115"/>
      <c r="AV697" s="115"/>
      <c r="AW697" s="115"/>
      <c r="AX697" s="26"/>
      <c r="AY697" s="13"/>
      <c r="BB697" s="114"/>
    </row>
    <row r="698" spans="26:54" ht="19.5" x14ac:dyDescent="0.4">
      <c r="Z698" s="130"/>
      <c r="AA698" s="119"/>
      <c r="AE698" s="115"/>
      <c r="AF698" s="116"/>
      <c r="AG698" s="123"/>
      <c r="AH698" s="123"/>
      <c r="AI698" s="123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115"/>
      <c r="AU698" s="115"/>
      <c r="AV698" s="115"/>
      <c r="AW698" s="115"/>
      <c r="AX698" s="26"/>
      <c r="AY698" s="13"/>
      <c r="BB698" s="114"/>
    </row>
    <row r="699" spans="26:54" ht="19.5" x14ac:dyDescent="0.4">
      <c r="AE699" s="115"/>
      <c r="AF699" s="116"/>
      <c r="AG699" s="123"/>
      <c r="AH699" s="123"/>
      <c r="AI699" s="123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115"/>
      <c r="AT699" s="115"/>
      <c r="AU699" s="115"/>
      <c r="AV699" s="115"/>
      <c r="AW699" s="115"/>
      <c r="AX699" s="26">
        <v>45280</v>
      </c>
      <c r="AY699" s="13" t="s">
        <v>162</v>
      </c>
      <c r="BB699" s="114"/>
    </row>
    <row r="700" spans="26:54" ht="19.5" x14ac:dyDescent="0.4">
      <c r="AE700" s="115"/>
      <c r="AF700" s="116"/>
      <c r="AG700" s="123"/>
      <c r="AH700" s="123"/>
      <c r="AI700" s="123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115"/>
      <c r="AT700" s="115"/>
      <c r="AU700" s="115"/>
      <c r="AV700" s="115"/>
      <c r="AW700" s="115"/>
      <c r="AX700" s="26">
        <v>45280</v>
      </c>
      <c r="AY700" s="13" t="s">
        <v>162</v>
      </c>
      <c r="BB700" s="114"/>
    </row>
    <row r="701" spans="26:54" ht="19.5" x14ac:dyDescent="0.4">
      <c r="AE701" s="115"/>
      <c r="AF701" s="116"/>
      <c r="AG701" s="123"/>
      <c r="AH701" s="123"/>
      <c r="AI701" s="123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15"/>
      <c r="AU701" s="115"/>
      <c r="AV701" s="115"/>
      <c r="AW701" s="115"/>
      <c r="AX701" s="26">
        <v>45280</v>
      </c>
      <c r="AY701" s="13" t="s">
        <v>162</v>
      </c>
      <c r="BB701" s="114"/>
    </row>
    <row r="702" spans="26:54" ht="19.5" x14ac:dyDescent="0.4">
      <c r="AD702" s="115"/>
      <c r="AE702" s="115"/>
      <c r="AF702" s="116"/>
      <c r="AG702" s="123"/>
      <c r="AH702" s="123"/>
      <c r="AI702" s="123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115"/>
      <c r="AT702" s="115"/>
      <c r="AU702" s="115"/>
      <c r="AV702" s="115"/>
      <c r="AW702" s="115"/>
      <c r="AX702" s="26">
        <v>45280</v>
      </c>
      <c r="AY702" s="13" t="s">
        <v>162</v>
      </c>
      <c r="BB702" s="114"/>
    </row>
    <row r="703" spans="26:54" ht="19.5" x14ac:dyDescent="0.4">
      <c r="AD703" s="115"/>
      <c r="AE703" s="115"/>
      <c r="AF703" s="116"/>
      <c r="AG703" s="123"/>
      <c r="AH703" s="123"/>
      <c r="AI703" s="123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115"/>
      <c r="AT703" s="115"/>
      <c r="AU703" s="115"/>
      <c r="AV703" s="115"/>
      <c r="AW703" s="115"/>
      <c r="AX703" s="26">
        <v>45280</v>
      </c>
      <c r="AY703" s="13" t="s">
        <v>162</v>
      </c>
      <c r="BB703" s="114"/>
    </row>
    <row r="704" spans="26:54" ht="19.5" x14ac:dyDescent="0.4">
      <c r="AB704" s="115"/>
      <c r="AC704" s="115"/>
      <c r="AD704" s="115"/>
      <c r="AE704" s="115"/>
      <c r="AF704" s="116"/>
      <c r="AG704" s="123"/>
      <c r="AH704" s="123"/>
      <c r="AI704" s="123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15"/>
      <c r="AU704" s="115"/>
      <c r="AV704" s="115"/>
      <c r="AW704" s="115"/>
      <c r="AX704" s="26">
        <v>45280</v>
      </c>
      <c r="AY704" s="13" t="s">
        <v>162</v>
      </c>
      <c r="BB704" s="114"/>
    </row>
    <row r="705" spans="28:54" x14ac:dyDescent="0.4">
      <c r="AB705" s="115"/>
      <c r="AC705" s="115"/>
      <c r="AD705" s="115"/>
      <c r="AE705" s="115"/>
      <c r="AF705" s="115"/>
      <c r="AG705" s="122"/>
      <c r="AH705" s="122"/>
      <c r="AI705" s="122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15"/>
      <c r="AU705" s="115"/>
      <c r="AV705" s="115"/>
      <c r="AW705" s="115"/>
      <c r="AX705" s="26">
        <v>45280</v>
      </c>
      <c r="AY705" s="13" t="s">
        <v>162</v>
      </c>
      <c r="BB705" s="114"/>
    </row>
    <row r="706" spans="28:54" x14ac:dyDescent="0.4">
      <c r="AB706" s="115"/>
      <c r="AC706" s="115"/>
      <c r="AD706" s="115"/>
      <c r="AE706" s="115"/>
      <c r="AF706" s="115"/>
      <c r="AG706" s="122"/>
      <c r="AH706" s="122"/>
      <c r="AI706" s="122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15"/>
      <c r="AU706" s="115"/>
      <c r="AV706" s="115"/>
      <c r="AW706" s="115"/>
      <c r="AX706" s="26">
        <v>45280</v>
      </c>
      <c r="AY706" s="13" t="s">
        <v>162</v>
      </c>
      <c r="BB706" s="114"/>
    </row>
    <row r="707" spans="28:54" x14ac:dyDescent="0.4">
      <c r="AB707" s="115"/>
      <c r="AC707" s="115"/>
      <c r="AD707" s="115"/>
      <c r="AE707" s="115"/>
      <c r="AF707" s="115"/>
      <c r="AG707" s="122"/>
      <c r="AH707" s="122"/>
      <c r="AI707" s="122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15"/>
      <c r="AU707" s="115"/>
      <c r="AV707" s="115"/>
      <c r="AW707" s="115" t="s">
        <v>171</v>
      </c>
      <c r="AX707" s="17">
        <f>SUBTOTAL(3,AX691:AX706)</f>
        <v>13</v>
      </c>
      <c r="AY707" s="13">
        <f>SUBTOTAL(3,AY691:AY706)</f>
        <v>13</v>
      </c>
      <c r="BB707" s="114"/>
    </row>
    <row r="708" spans="28:54" x14ac:dyDescent="0.4">
      <c r="AB708" s="115"/>
      <c r="AC708" s="115"/>
      <c r="AD708" s="115"/>
      <c r="AE708" s="115"/>
      <c r="AF708" s="115"/>
      <c r="AG708" s="122"/>
      <c r="AH708" s="122"/>
      <c r="AI708" s="122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15"/>
      <c r="AU708" s="115"/>
      <c r="AV708" s="115"/>
      <c r="AW708" s="115"/>
      <c r="AX708" s="26">
        <v>45283</v>
      </c>
      <c r="AY708" s="13" t="s">
        <v>162</v>
      </c>
      <c r="BB708" s="114"/>
    </row>
    <row r="709" spans="28:54" x14ac:dyDescent="0.4">
      <c r="AB709" s="115"/>
      <c r="AC709" s="115"/>
      <c r="AD709" s="115"/>
      <c r="AE709" s="115"/>
      <c r="AF709" s="115"/>
      <c r="AG709" s="122"/>
      <c r="AH709" s="122"/>
      <c r="AI709" s="122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115"/>
      <c r="AU709" s="115"/>
      <c r="AV709" s="115"/>
      <c r="AW709" s="115"/>
      <c r="AX709" s="26">
        <v>45283</v>
      </c>
      <c r="AY709" s="13" t="s">
        <v>162</v>
      </c>
      <c r="BB709" s="114"/>
    </row>
    <row r="710" spans="28:54" x14ac:dyDescent="0.4">
      <c r="AB710" s="115"/>
      <c r="AC710" s="115"/>
      <c r="AD710" s="115"/>
      <c r="AE710" s="115"/>
      <c r="AF710" s="115"/>
      <c r="AG710" s="122"/>
      <c r="AH710" s="122"/>
      <c r="AI710" s="122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15"/>
      <c r="AU710" s="115"/>
      <c r="AV710" s="115"/>
      <c r="AW710" s="115"/>
      <c r="AX710" s="26">
        <v>45283</v>
      </c>
      <c r="AY710" s="13" t="s">
        <v>162</v>
      </c>
      <c r="BB710" s="114"/>
    </row>
    <row r="711" spans="28:54" x14ac:dyDescent="0.4">
      <c r="AB711" s="115"/>
      <c r="AC711" s="115"/>
      <c r="AD711" s="115"/>
      <c r="AE711" s="115"/>
      <c r="AF711" s="115"/>
      <c r="AG711" s="122"/>
      <c r="AH711" s="122"/>
      <c r="AI711" s="122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15"/>
      <c r="AU711" s="115"/>
      <c r="AV711" s="115"/>
      <c r="AW711" s="115"/>
      <c r="AX711" s="26">
        <v>45283</v>
      </c>
      <c r="AY711" s="13" t="s">
        <v>162</v>
      </c>
      <c r="BB711" s="114"/>
    </row>
    <row r="712" spans="28:54" x14ac:dyDescent="0.4">
      <c r="AB712" s="115"/>
      <c r="AC712" s="115"/>
      <c r="AD712" s="115"/>
      <c r="AE712" s="115"/>
      <c r="AF712" s="115"/>
      <c r="AG712" s="122"/>
      <c r="AH712" s="122"/>
      <c r="AI712" s="122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15"/>
      <c r="AU712" s="115"/>
      <c r="AV712" s="115"/>
      <c r="AW712" s="115"/>
      <c r="AX712" s="26">
        <v>45283</v>
      </c>
      <c r="AY712" s="13" t="s">
        <v>162</v>
      </c>
      <c r="BB712" s="114"/>
    </row>
    <row r="713" spans="28:54" x14ac:dyDescent="0.4">
      <c r="AB713" s="115"/>
      <c r="AC713" s="115"/>
      <c r="AD713" s="115"/>
      <c r="AE713" s="115"/>
      <c r="AF713" s="115"/>
      <c r="AG713" s="122"/>
      <c r="AH713" s="122"/>
      <c r="AI713" s="122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15"/>
      <c r="AU713" s="115"/>
      <c r="AV713" s="115"/>
      <c r="AW713" s="115"/>
      <c r="AX713" s="26">
        <v>45283</v>
      </c>
      <c r="AY713" s="13" t="s">
        <v>162</v>
      </c>
      <c r="BB713" s="114"/>
    </row>
    <row r="714" spans="28:54" x14ac:dyDescent="0.4">
      <c r="AB714" s="115"/>
      <c r="AC714" s="115"/>
      <c r="AD714" s="115"/>
      <c r="AE714" s="115"/>
      <c r="AF714" s="115"/>
      <c r="AG714" s="122"/>
      <c r="AH714" s="122"/>
      <c r="AI714" s="122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15"/>
      <c r="AU714" s="115"/>
      <c r="AV714" s="115"/>
      <c r="AW714" s="115"/>
      <c r="AX714" s="26">
        <v>45283</v>
      </c>
      <c r="AY714" s="13" t="s">
        <v>162</v>
      </c>
      <c r="BB714" s="114"/>
    </row>
    <row r="715" spans="28:54" x14ac:dyDescent="0.4">
      <c r="AB715" s="115"/>
      <c r="AC715" s="115"/>
      <c r="AD715" s="115"/>
      <c r="AE715" s="115"/>
      <c r="AF715" s="115"/>
      <c r="AG715" s="122"/>
      <c r="AH715" s="122"/>
      <c r="AI715" s="122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15"/>
      <c r="AU715" s="115"/>
      <c r="AV715" s="115"/>
      <c r="AW715" s="115"/>
      <c r="AX715" s="26">
        <v>45283</v>
      </c>
      <c r="AY715" s="13" t="s">
        <v>162</v>
      </c>
      <c r="BB715" s="114"/>
    </row>
    <row r="716" spans="28:54" x14ac:dyDescent="0.4">
      <c r="AB716" s="115"/>
      <c r="AC716" s="115"/>
      <c r="AD716" s="115"/>
      <c r="AE716" s="115"/>
      <c r="AF716" s="115"/>
      <c r="AG716" s="122"/>
      <c r="AH716" s="122"/>
      <c r="AI716" s="122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15"/>
      <c r="AU716" s="115"/>
      <c r="AV716" s="115"/>
      <c r="AW716" s="115"/>
      <c r="AX716" s="26">
        <v>45283</v>
      </c>
      <c r="AY716" s="13" t="s">
        <v>162</v>
      </c>
      <c r="BB716" s="114"/>
    </row>
    <row r="717" spans="28:54" x14ac:dyDescent="0.4">
      <c r="AB717" s="115"/>
      <c r="AC717" s="115"/>
      <c r="AD717" s="115"/>
      <c r="AE717" s="115"/>
      <c r="AF717" s="115"/>
      <c r="AG717" s="122"/>
      <c r="AH717" s="122"/>
      <c r="AI717" s="122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15"/>
      <c r="AU717" s="115"/>
      <c r="AV717" s="115"/>
      <c r="AW717" s="115"/>
      <c r="AX717" s="26">
        <v>45283</v>
      </c>
      <c r="AY717" s="13" t="s">
        <v>162</v>
      </c>
      <c r="BB717" s="114"/>
    </row>
    <row r="718" spans="28:54" x14ac:dyDescent="0.4">
      <c r="AB718" s="115"/>
      <c r="AC718" s="115"/>
      <c r="AD718" s="115"/>
      <c r="AE718" s="115"/>
      <c r="AF718" s="115"/>
      <c r="AG718" s="122"/>
      <c r="AH718" s="122"/>
      <c r="AI718" s="122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15"/>
      <c r="AU718" s="115"/>
      <c r="AV718" s="115"/>
      <c r="AW718" s="115"/>
      <c r="AX718" s="26">
        <v>45283</v>
      </c>
      <c r="AY718" s="13" t="s">
        <v>163</v>
      </c>
      <c r="BB718" s="114"/>
    </row>
    <row r="719" spans="28:54" x14ac:dyDescent="0.4">
      <c r="AB719" s="115"/>
      <c r="AC719" s="115"/>
      <c r="AD719" s="115"/>
      <c r="AE719" s="115"/>
      <c r="AF719" s="115"/>
      <c r="AG719" s="122"/>
      <c r="AH719" s="122"/>
      <c r="AI719" s="122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15"/>
      <c r="AU719" s="115"/>
      <c r="AV719" s="115"/>
      <c r="AW719" s="115"/>
      <c r="AX719" s="26">
        <v>45283</v>
      </c>
      <c r="AY719" s="13" t="s">
        <v>163</v>
      </c>
      <c r="BB719" s="114"/>
    </row>
    <row r="720" spans="28:54" x14ac:dyDescent="0.4">
      <c r="AB720" s="115"/>
      <c r="AC720" s="115"/>
      <c r="AD720" s="115"/>
      <c r="AE720" s="115"/>
      <c r="AF720" s="115"/>
      <c r="AG720" s="122"/>
      <c r="AH720" s="122"/>
      <c r="AI720" s="122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15"/>
      <c r="AU720" s="115"/>
      <c r="AV720" s="115"/>
      <c r="AW720" s="115"/>
      <c r="AX720" s="26">
        <v>45283</v>
      </c>
      <c r="AY720" s="13" t="s">
        <v>163</v>
      </c>
      <c r="BB720" s="114"/>
    </row>
    <row r="721" spans="28:54" x14ac:dyDescent="0.4">
      <c r="AB721" s="115"/>
      <c r="AC721" s="115"/>
      <c r="AD721" s="115"/>
      <c r="AE721" s="115"/>
      <c r="AF721" s="115"/>
      <c r="AG721" s="122"/>
      <c r="AH721" s="122"/>
      <c r="AI721" s="122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115"/>
      <c r="AU721" s="115"/>
      <c r="AV721" s="115"/>
      <c r="AW721" s="115" t="s">
        <v>161</v>
      </c>
      <c r="AX721" s="17">
        <f>SUBTOTAL(3,AX708:AX720)</f>
        <v>13</v>
      </c>
      <c r="AY721" s="13">
        <f>SUBTOTAL(3,AY708:AY720)</f>
        <v>13</v>
      </c>
      <c r="BB721" s="114"/>
    </row>
    <row r="722" spans="28:54" x14ac:dyDescent="0.4">
      <c r="AB722" s="115"/>
      <c r="AC722" s="115"/>
      <c r="AD722" s="115"/>
      <c r="AE722" s="115"/>
      <c r="AF722" s="115"/>
      <c r="AG722" s="122"/>
      <c r="AH722" s="122"/>
      <c r="AI722" s="122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15"/>
      <c r="AU722" s="115"/>
      <c r="AV722" s="115"/>
      <c r="AW722" s="115"/>
      <c r="AX722" s="26">
        <v>45285</v>
      </c>
      <c r="AY722" s="13" t="s">
        <v>163</v>
      </c>
      <c r="BB722" s="114"/>
    </row>
    <row r="723" spans="28:54" x14ac:dyDescent="0.4">
      <c r="AB723" s="115"/>
      <c r="AC723" s="115"/>
      <c r="AD723" s="115"/>
      <c r="AE723" s="115"/>
      <c r="AF723" s="115"/>
      <c r="AG723" s="122"/>
      <c r="AH723" s="122"/>
      <c r="AI723" s="122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15"/>
      <c r="AU723" s="115"/>
      <c r="AV723" s="115"/>
      <c r="AW723" s="115" t="s">
        <v>172</v>
      </c>
      <c r="AX723" s="17">
        <f>SUBTOTAL(3,AX722:AX722)</f>
        <v>1</v>
      </c>
      <c r="AY723" s="13">
        <f>SUBTOTAL(3,AY722:AY722)</f>
        <v>1</v>
      </c>
      <c r="BB723" s="114"/>
    </row>
    <row r="724" spans="28:54" x14ac:dyDescent="0.4">
      <c r="AB724" s="115"/>
      <c r="AC724" s="115"/>
      <c r="AD724" s="115"/>
      <c r="AE724" s="115"/>
      <c r="AF724" s="115"/>
      <c r="AG724" s="122"/>
      <c r="AH724" s="122"/>
      <c r="AI724" s="122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115"/>
      <c r="AU724" s="115"/>
      <c r="AV724" s="115"/>
      <c r="AW724" s="115"/>
      <c r="AX724" s="26">
        <v>45299</v>
      </c>
      <c r="AY724" s="13" t="s">
        <v>164</v>
      </c>
      <c r="BB724" s="114"/>
    </row>
    <row r="725" spans="28:54" x14ac:dyDescent="0.4">
      <c r="AB725" s="115"/>
      <c r="AC725" s="115"/>
      <c r="AD725" s="115"/>
      <c r="AE725" s="115"/>
      <c r="AF725" s="115"/>
      <c r="AG725" s="122"/>
      <c r="AH725" s="122"/>
      <c r="AI725" s="122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15"/>
      <c r="AU725" s="115"/>
      <c r="AV725" s="115"/>
      <c r="AW725" s="115"/>
      <c r="AX725" s="26">
        <v>45299</v>
      </c>
      <c r="AY725" s="13" t="s">
        <v>162</v>
      </c>
      <c r="BB725" s="114"/>
    </row>
    <row r="726" spans="28:54" x14ac:dyDescent="0.4">
      <c r="AB726" s="115"/>
      <c r="AC726" s="115"/>
      <c r="AD726" s="115"/>
      <c r="AE726" s="115"/>
      <c r="AF726" s="115"/>
      <c r="AG726" s="122"/>
      <c r="AH726" s="122"/>
      <c r="AI726" s="122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15"/>
      <c r="AU726" s="115"/>
      <c r="AV726" s="115"/>
      <c r="AW726" s="115"/>
      <c r="AX726" s="26">
        <v>45299</v>
      </c>
      <c r="AY726" s="13" t="s">
        <v>162</v>
      </c>
      <c r="BB726" s="114"/>
    </row>
    <row r="727" spans="28:54" x14ac:dyDescent="0.4">
      <c r="AB727" s="115"/>
      <c r="AC727" s="115"/>
      <c r="AD727" s="115"/>
      <c r="AE727" s="115"/>
      <c r="AF727" s="115"/>
      <c r="AG727" s="122"/>
      <c r="AH727" s="122"/>
      <c r="AI727" s="122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115"/>
      <c r="AT727" s="115"/>
      <c r="AU727" s="115"/>
      <c r="AV727" s="115"/>
      <c r="AW727" s="115"/>
      <c r="AX727" s="26">
        <v>45299</v>
      </c>
      <c r="AY727" s="15" t="s">
        <v>162</v>
      </c>
      <c r="BB727" s="114"/>
    </row>
    <row r="728" spans="28:54" x14ac:dyDescent="0.4">
      <c r="AB728" s="115"/>
      <c r="AC728" s="115"/>
      <c r="AD728" s="115"/>
      <c r="AE728" s="115"/>
      <c r="AF728" s="115"/>
      <c r="AG728" s="122"/>
      <c r="AH728" s="122"/>
      <c r="AI728" s="122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15"/>
      <c r="AU728" s="115"/>
      <c r="AV728" s="115"/>
      <c r="AW728" s="115" t="s">
        <v>173</v>
      </c>
      <c r="AX728" s="17">
        <f>SUBTOTAL(3,AX724:AX727)</f>
        <v>4</v>
      </c>
      <c r="AY728" s="13">
        <f>SUBTOTAL(3,AY724:AY727)</f>
        <v>4</v>
      </c>
      <c r="BB728" s="114"/>
    </row>
    <row r="729" spans="28:54" x14ac:dyDescent="0.4">
      <c r="AB729" s="115"/>
      <c r="AC729" s="115"/>
      <c r="AD729" s="115"/>
      <c r="AE729" s="115"/>
      <c r="AF729" s="115"/>
      <c r="AG729" s="122"/>
      <c r="AH729" s="122"/>
      <c r="AI729" s="122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115"/>
      <c r="AU729" s="115"/>
      <c r="AV729" s="115"/>
      <c r="AW729" s="115" t="s">
        <v>145</v>
      </c>
      <c r="AX729" s="17">
        <f>SUBTOTAL(3,AX2:AX727)</f>
        <v>136</v>
      </c>
      <c r="AY729" s="13">
        <f>SUBTOTAL(3,AY2:AY727)</f>
        <v>136</v>
      </c>
      <c r="BB729" s="114"/>
    </row>
    <row r="730" spans="28:54" x14ac:dyDescent="0.4">
      <c r="AB730" s="115"/>
      <c r="AC730" s="115"/>
      <c r="AD730" s="115"/>
      <c r="AE730" s="115"/>
      <c r="AF730" s="115"/>
      <c r="AG730" s="122"/>
      <c r="AH730" s="122"/>
      <c r="AI730" s="122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15"/>
      <c r="AU730" s="115" t="s">
        <v>145</v>
      </c>
      <c r="AV730" s="115"/>
      <c r="AW730" s="115"/>
      <c r="AX730" s="26"/>
      <c r="AY730" s="13"/>
      <c r="BB730" s="114"/>
    </row>
    <row r="731" spans="28:54" x14ac:dyDescent="0.4">
      <c r="AB731" s="115"/>
      <c r="AC731" s="115"/>
      <c r="AD731" s="115"/>
      <c r="AE731" s="115"/>
      <c r="AF731" s="115"/>
      <c r="AG731" s="122"/>
      <c r="AH731" s="122"/>
      <c r="AI731" s="122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115"/>
      <c r="AU731" s="115"/>
      <c r="AV731" s="115"/>
      <c r="AW731" s="115"/>
      <c r="AX731" s="17"/>
      <c r="AY731" s="13"/>
      <c r="BB731" s="114"/>
    </row>
    <row r="732" spans="28:54" x14ac:dyDescent="0.4">
      <c r="AB732" s="115"/>
      <c r="AC732" s="115"/>
      <c r="AD732" s="115"/>
      <c r="AE732" s="115"/>
      <c r="AF732" s="115"/>
      <c r="AG732" s="122"/>
      <c r="AH732" s="122"/>
      <c r="AI732" s="122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115"/>
      <c r="AT732" s="115"/>
      <c r="AU732" s="115"/>
      <c r="AV732" s="115"/>
      <c r="AW732" s="115"/>
      <c r="AX732" s="26"/>
      <c r="AY732" s="13"/>
      <c r="BB732" s="114"/>
    </row>
    <row r="733" spans="28:54" x14ac:dyDescent="0.4">
      <c r="AB733" s="115"/>
      <c r="AC733" s="115"/>
      <c r="AD733" s="115"/>
      <c r="AE733" s="115"/>
      <c r="AF733" s="115"/>
      <c r="AG733" s="122"/>
      <c r="AH733" s="122"/>
      <c r="AI733" s="122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115"/>
      <c r="AT733" s="115"/>
      <c r="AU733" s="115"/>
      <c r="AV733" s="115"/>
      <c r="AW733" s="115"/>
      <c r="AX733" s="17"/>
      <c r="AY733" s="13"/>
      <c r="BB733" s="114"/>
    </row>
    <row r="734" spans="28:54" x14ac:dyDescent="0.4">
      <c r="AB734" s="115"/>
      <c r="AC734" s="115"/>
      <c r="AD734" s="115"/>
      <c r="AE734" s="115"/>
      <c r="AF734" s="115"/>
      <c r="AG734" s="122"/>
      <c r="AH734" s="122"/>
      <c r="AI734" s="122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115"/>
      <c r="AT734" s="115"/>
      <c r="AU734" s="115"/>
      <c r="AV734" s="115"/>
      <c r="AW734" s="115"/>
      <c r="AX734" s="26"/>
      <c r="AY734" s="13"/>
      <c r="BB734" s="114"/>
    </row>
    <row r="735" spans="28:54" x14ac:dyDescent="0.4">
      <c r="AB735" s="115"/>
      <c r="AC735" s="115"/>
      <c r="AD735" s="115"/>
      <c r="AE735" s="115"/>
      <c r="AF735" s="115"/>
      <c r="AG735" s="122"/>
      <c r="AH735" s="122"/>
      <c r="AI735" s="122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115"/>
      <c r="AT735" s="115"/>
      <c r="AU735" s="115"/>
      <c r="AV735" s="115"/>
      <c r="AW735" s="115"/>
      <c r="AX735" s="26"/>
      <c r="AY735" s="13"/>
      <c r="BB735" s="114"/>
    </row>
    <row r="736" spans="28:54" x14ac:dyDescent="0.4">
      <c r="AB736" s="115"/>
      <c r="AC736" s="115"/>
      <c r="AD736" s="115"/>
      <c r="AE736" s="115"/>
      <c r="AF736" s="115"/>
      <c r="AG736" s="122"/>
      <c r="AH736" s="122"/>
      <c r="AI736" s="122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115"/>
      <c r="AT736" s="115"/>
      <c r="AU736" s="115"/>
      <c r="AV736" s="115"/>
      <c r="AW736" s="115"/>
      <c r="AX736" s="26"/>
      <c r="AY736" s="13"/>
      <c r="BB736" s="114"/>
    </row>
    <row r="737" spans="28:54" x14ac:dyDescent="0.4">
      <c r="AB737" s="115"/>
      <c r="AC737" s="115"/>
      <c r="AD737" s="115"/>
      <c r="AE737" s="115"/>
      <c r="AF737" s="115"/>
      <c r="AG737" s="122"/>
      <c r="AH737" s="122"/>
      <c r="AI737" s="122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115"/>
      <c r="AT737" s="115"/>
      <c r="AU737" s="115"/>
      <c r="AV737" s="115"/>
      <c r="AW737" s="115"/>
      <c r="AX737" s="17"/>
      <c r="AY737" s="13"/>
      <c r="BB737" s="114"/>
    </row>
    <row r="738" spans="28:54" x14ac:dyDescent="0.4">
      <c r="AB738" s="115"/>
      <c r="AC738" s="115"/>
      <c r="AD738" s="115"/>
      <c r="AE738" s="115"/>
      <c r="AF738" s="115"/>
      <c r="AG738" s="122"/>
      <c r="AH738" s="122"/>
      <c r="AI738" s="122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115"/>
      <c r="AT738" s="115"/>
      <c r="AU738" s="115"/>
      <c r="AV738" s="115"/>
      <c r="AW738" s="115"/>
      <c r="AX738" s="26"/>
      <c r="AY738" s="13"/>
      <c r="BB738" s="114"/>
    </row>
    <row r="739" spans="28:54" x14ac:dyDescent="0.4">
      <c r="AB739" s="115"/>
      <c r="AC739" s="115"/>
      <c r="AD739" s="115"/>
      <c r="AE739" s="115"/>
      <c r="AF739" s="115"/>
      <c r="AG739" s="122"/>
      <c r="AH739" s="122"/>
      <c r="AI739" s="122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115"/>
      <c r="AT739" s="115"/>
      <c r="AU739" s="115"/>
      <c r="AV739" s="115"/>
      <c r="AW739" s="115"/>
      <c r="AX739" s="17"/>
      <c r="AY739" s="13"/>
      <c r="BB739" s="114"/>
    </row>
    <row r="740" spans="28:54" x14ac:dyDescent="0.4">
      <c r="AB740" s="115"/>
      <c r="AC740" s="115"/>
      <c r="AD740" s="115"/>
      <c r="AE740" s="115"/>
      <c r="AF740" s="115"/>
      <c r="AG740" s="122"/>
      <c r="AH740" s="122"/>
      <c r="AI740" s="122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115"/>
      <c r="AT740" s="115"/>
      <c r="AU740" s="115"/>
      <c r="AV740" s="115"/>
      <c r="AW740" s="115"/>
      <c r="AX740" s="26"/>
      <c r="AY740" s="13"/>
      <c r="BB740" s="114"/>
    </row>
    <row r="741" spans="28:54" x14ac:dyDescent="0.4">
      <c r="AB741" s="115"/>
      <c r="AC741" s="115"/>
      <c r="AD741" s="115"/>
      <c r="AE741" s="115"/>
      <c r="AF741" s="115"/>
      <c r="AG741" s="122"/>
      <c r="AH741" s="122"/>
      <c r="AI741" s="122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15"/>
      <c r="AU741" s="115"/>
      <c r="AV741" s="115"/>
      <c r="AW741" s="115"/>
      <c r="AX741" s="17"/>
      <c r="AY741" s="13"/>
      <c r="BB741" s="114"/>
    </row>
    <row r="742" spans="28:54" x14ac:dyDescent="0.4">
      <c r="AB742" s="115"/>
      <c r="AC742" s="115"/>
      <c r="AD742" s="115"/>
      <c r="AE742" s="115"/>
      <c r="AF742" s="115"/>
      <c r="AG742" s="122"/>
      <c r="AH742" s="122"/>
      <c r="AI742" s="122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15"/>
      <c r="AU742" s="115"/>
      <c r="AV742" s="115"/>
      <c r="AW742" s="115"/>
      <c r="AX742" s="17"/>
      <c r="AY742" s="13"/>
      <c r="BB742" s="114"/>
    </row>
    <row r="743" spans="28:54" x14ac:dyDescent="0.4">
      <c r="AB743" s="115"/>
      <c r="AC743" s="115"/>
      <c r="AD743" s="115"/>
      <c r="AE743" s="115"/>
      <c r="AF743" s="115"/>
      <c r="AG743" s="122"/>
      <c r="AH743" s="122"/>
      <c r="AI743" s="122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15"/>
      <c r="AU743" s="115"/>
      <c r="AV743" s="115"/>
      <c r="AW743" s="115"/>
      <c r="AX743" s="17"/>
      <c r="AY743" s="13"/>
      <c r="BB743" s="114"/>
    </row>
    <row r="744" spans="28:54" x14ac:dyDescent="0.4">
      <c r="AB744" s="115"/>
      <c r="AC744" s="115"/>
      <c r="AD744" s="115"/>
      <c r="AE744" s="115"/>
      <c r="AF744" s="115"/>
      <c r="AG744" s="122"/>
      <c r="AH744" s="122"/>
      <c r="AI744" s="122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115"/>
      <c r="AU744" s="115"/>
      <c r="AV744" s="115"/>
      <c r="AW744" s="115"/>
      <c r="AX744" s="26"/>
      <c r="AY744" s="13"/>
      <c r="BB744" s="114"/>
    </row>
    <row r="745" spans="28:54" x14ac:dyDescent="0.4">
      <c r="AB745" s="115"/>
      <c r="AC745" s="115"/>
      <c r="AD745" s="115"/>
      <c r="AE745" s="115"/>
      <c r="AF745" s="115"/>
      <c r="AG745" s="122"/>
      <c r="AH745" s="122"/>
      <c r="AI745" s="122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15"/>
      <c r="AU745" s="115"/>
      <c r="AV745" s="115"/>
      <c r="AW745" s="115"/>
      <c r="AX745" s="17"/>
      <c r="AY745" s="13"/>
      <c r="BB745" s="114"/>
    </row>
    <row r="746" spans="28:54" x14ac:dyDescent="0.4">
      <c r="AB746" s="115"/>
      <c r="AC746" s="115"/>
      <c r="AD746" s="115"/>
      <c r="AE746" s="115"/>
      <c r="AF746" s="115"/>
      <c r="AG746" s="122"/>
      <c r="AH746" s="122"/>
      <c r="AI746" s="122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15"/>
      <c r="AU746" s="115"/>
      <c r="AV746" s="115"/>
      <c r="AW746" s="115"/>
      <c r="AX746" s="26"/>
      <c r="AY746" s="13"/>
      <c r="BB746" s="114"/>
    </row>
    <row r="747" spans="28:54" x14ac:dyDescent="0.4">
      <c r="AB747" s="115"/>
      <c r="AC747" s="115"/>
      <c r="AD747" s="115"/>
      <c r="AE747" s="115"/>
      <c r="AF747" s="115"/>
      <c r="AG747" s="122"/>
      <c r="AH747" s="122"/>
      <c r="AI747" s="122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115"/>
      <c r="AT747" s="115"/>
      <c r="AU747" s="115"/>
      <c r="AV747" s="115"/>
      <c r="AW747" s="115"/>
      <c r="AX747" s="17"/>
      <c r="AY747" s="13"/>
      <c r="BB747" s="114"/>
    </row>
    <row r="748" spans="28:54" x14ac:dyDescent="0.4">
      <c r="AB748" s="115"/>
      <c r="AC748" s="115"/>
      <c r="AD748" s="115"/>
      <c r="AE748" s="115"/>
      <c r="AF748" s="115"/>
      <c r="AG748" s="122"/>
      <c r="AH748" s="122"/>
      <c r="AI748" s="122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115"/>
      <c r="AT748" s="115"/>
      <c r="AU748" s="115"/>
      <c r="AV748" s="115"/>
      <c r="AW748" s="115"/>
      <c r="AX748" s="26"/>
      <c r="AY748" s="25"/>
      <c r="BB748" s="114"/>
    </row>
    <row r="749" spans="28:54" x14ac:dyDescent="0.4">
      <c r="AB749" s="115"/>
      <c r="AC749" s="115"/>
      <c r="AD749" s="115"/>
      <c r="AE749" s="115"/>
      <c r="AF749" s="115"/>
      <c r="AG749" s="122"/>
      <c r="AH749" s="122"/>
      <c r="AI749" s="122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15"/>
      <c r="AU749" s="115"/>
      <c r="AV749" s="115"/>
      <c r="AW749" s="115"/>
      <c r="AX749" s="17"/>
      <c r="AY749" s="13"/>
      <c r="BB749" s="114"/>
    </row>
    <row r="750" spans="28:54" x14ac:dyDescent="0.4">
      <c r="AB750" s="115"/>
      <c r="AC750" s="115"/>
      <c r="AD750" s="115"/>
      <c r="AE750" s="115"/>
      <c r="AF750" s="115"/>
      <c r="AG750" s="122"/>
      <c r="AH750" s="122"/>
      <c r="AI750" s="122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15"/>
      <c r="AU750" s="115"/>
      <c r="AV750" s="115"/>
      <c r="AW750" s="115"/>
      <c r="AX750" s="17"/>
      <c r="AY750" s="13"/>
      <c r="BB750" s="114"/>
    </row>
    <row r="751" spans="28:54" x14ac:dyDescent="0.4">
      <c r="AB751" s="115"/>
      <c r="AC751" s="115"/>
      <c r="AD751" s="115"/>
      <c r="AE751" s="115"/>
      <c r="AF751" s="115"/>
      <c r="AG751" s="122"/>
      <c r="AH751" s="122"/>
      <c r="AI751" s="122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15"/>
      <c r="AU751" s="115"/>
      <c r="AV751" s="115"/>
      <c r="AW751" s="115"/>
      <c r="AX751" s="26"/>
      <c r="AY751" s="15"/>
      <c r="BB751" s="114"/>
    </row>
    <row r="752" spans="28:54" x14ac:dyDescent="0.4">
      <c r="AB752" s="115"/>
      <c r="AC752" s="115"/>
      <c r="AD752" s="115"/>
      <c r="AE752" s="115"/>
      <c r="AF752" s="115"/>
      <c r="AG752" s="122"/>
      <c r="AH752" s="122"/>
      <c r="AI752" s="122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15"/>
      <c r="AU752" s="115"/>
      <c r="AV752" s="115"/>
      <c r="AW752" s="115"/>
      <c r="AX752" s="26"/>
      <c r="AY752" s="15"/>
      <c r="BB752" s="114"/>
    </row>
    <row r="753" spans="28:54" x14ac:dyDescent="0.4">
      <c r="AB753" s="115"/>
      <c r="AC753" s="115"/>
      <c r="AD753" s="115"/>
      <c r="AE753" s="115"/>
      <c r="AF753" s="115"/>
      <c r="AG753" s="122"/>
      <c r="AH753" s="122"/>
      <c r="AI753" s="122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115"/>
      <c r="AT753" s="115"/>
      <c r="AU753" s="115"/>
      <c r="AV753" s="115"/>
      <c r="AW753" s="115"/>
      <c r="AX753" s="26"/>
      <c r="AY753" s="15"/>
      <c r="BB753" s="114"/>
    </row>
    <row r="754" spans="28:54" x14ac:dyDescent="0.4">
      <c r="AB754" s="115"/>
      <c r="AC754" s="115"/>
      <c r="AD754" s="115"/>
      <c r="AE754" s="115"/>
      <c r="AF754" s="115"/>
      <c r="AG754" s="122"/>
      <c r="AH754" s="122"/>
      <c r="AI754" s="122"/>
      <c r="AJ754" s="115"/>
      <c r="AK754" s="115"/>
      <c r="AL754" s="115"/>
      <c r="AM754" s="115"/>
      <c r="AN754" s="115"/>
      <c r="AO754" s="115"/>
      <c r="AP754" s="115"/>
      <c r="AQ754" s="115"/>
      <c r="AR754" s="115"/>
      <c r="AS754" s="115"/>
      <c r="AT754" s="115"/>
      <c r="AU754" s="115"/>
      <c r="AV754" s="115"/>
      <c r="AW754" s="115"/>
      <c r="AX754" s="26"/>
      <c r="AY754" s="15"/>
      <c r="BB754" s="114"/>
    </row>
    <row r="755" spans="28:54" x14ac:dyDescent="0.4">
      <c r="AB755" s="115"/>
      <c r="AC755" s="115"/>
      <c r="AD755" s="115"/>
      <c r="AE755" s="115"/>
      <c r="AF755" s="115"/>
      <c r="AG755" s="122"/>
      <c r="AH755" s="122"/>
      <c r="AI755" s="122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115"/>
      <c r="AT755" s="115"/>
      <c r="AU755" s="115"/>
      <c r="AV755" s="115"/>
      <c r="AW755" s="115"/>
      <c r="AX755" s="26"/>
      <c r="AY755" s="15"/>
      <c r="BB755" s="114"/>
    </row>
    <row r="756" spans="28:54" x14ac:dyDescent="0.4">
      <c r="AB756" s="115"/>
      <c r="AC756" s="115"/>
      <c r="AD756" s="115"/>
      <c r="AE756" s="115"/>
      <c r="AF756" s="115"/>
      <c r="AG756" s="122"/>
      <c r="AH756" s="122"/>
      <c r="AI756" s="122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115"/>
      <c r="AT756" s="115"/>
      <c r="AU756" s="115"/>
      <c r="AV756" s="115"/>
      <c r="AW756" s="115"/>
      <c r="AX756" s="26"/>
      <c r="AY756" s="15"/>
      <c r="BB756" s="114"/>
    </row>
    <row r="757" spans="28:54" x14ac:dyDescent="0.4">
      <c r="AB757" s="115"/>
      <c r="AC757" s="115"/>
      <c r="AD757" s="115"/>
      <c r="AE757" s="115"/>
      <c r="AF757" s="115"/>
      <c r="AG757" s="122"/>
      <c r="AH757" s="122"/>
      <c r="AI757" s="122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115"/>
      <c r="AT757" s="115"/>
      <c r="AU757" s="115"/>
      <c r="AV757" s="115"/>
      <c r="AW757" s="115"/>
      <c r="AX757" s="26"/>
      <c r="AY757" s="15"/>
      <c r="BB757" s="114"/>
    </row>
    <row r="758" spans="28:54" x14ac:dyDescent="0.4">
      <c r="AB758" s="115"/>
      <c r="AC758" s="115"/>
      <c r="AD758" s="115"/>
      <c r="AE758" s="115"/>
      <c r="AF758" s="115"/>
      <c r="AG758" s="122"/>
      <c r="AH758" s="122"/>
      <c r="AI758" s="122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15"/>
      <c r="AU758" s="115"/>
      <c r="AV758" s="115"/>
      <c r="AW758" s="115"/>
      <c r="AX758" s="26"/>
      <c r="AY758" s="15"/>
      <c r="BB758" s="114"/>
    </row>
    <row r="759" spans="28:54" x14ac:dyDescent="0.4">
      <c r="AB759" s="115"/>
      <c r="AC759" s="115"/>
      <c r="AD759" s="115"/>
      <c r="AE759" s="115"/>
      <c r="AF759" s="115"/>
      <c r="AG759" s="122"/>
      <c r="AH759" s="122"/>
      <c r="AI759" s="122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15"/>
      <c r="AU759" s="115"/>
      <c r="AV759" s="115"/>
      <c r="AW759" s="115"/>
      <c r="AX759" s="17"/>
      <c r="AY759" s="15"/>
      <c r="BB759" s="114"/>
    </row>
    <row r="760" spans="28:54" x14ac:dyDescent="0.4">
      <c r="AB760" s="115"/>
      <c r="AC760" s="115"/>
      <c r="AD760" s="115"/>
      <c r="AE760" s="115"/>
      <c r="AF760" s="115"/>
      <c r="AG760" s="122"/>
      <c r="AH760" s="122"/>
      <c r="AI760" s="122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15"/>
      <c r="AU760" s="115"/>
      <c r="AV760" s="115"/>
      <c r="AW760" s="115"/>
      <c r="AX760" s="26"/>
      <c r="AY760" s="15"/>
      <c r="BB760" s="114"/>
    </row>
    <row r="761" spans="28:54" x14ac:dyDescent="0.4">
      <c r="AB761" s="115"/>
      <c r="AC761" s="115"/>
      <c r="AD761" s="115"/>
      <c r="AE761" s="115"/>
      <c r="AF761" s="115"/>
      <c r="AG761" s="122"/>
      <c r="AH761" s="122"/>
      <c r="AI761" s="122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15"/>
      <c r="AU761" s="115"/>
      <c r="AV761" s="115"/>
      <c r="AW761" s="115"/>
      <c r="AX761" s="26"/>
      <c r="AY761" s="13"/>
      <c r="BB761" s="114"/>
    </row>
    <row r="762" spans="28:54" x14ac:dyDescent="0.4">
      <c r="AB762" s="115"/>
      <c r="AC762" s="115"/>
      <c r="AD762" s="115"/>
      <c r="AE762" s="115"/>
      <c r="AF762" s="115"/>
      <c r="AG762" s="122"/>
      <c r="AH762" s="122"/>
      <c r="AI762" s="122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115"/>
      <c r="AU762" s="115"/>
      <c r="AV762" s="115"/>
      <c r="AW762" s="115"/>
      <c r="AX762" s="26"/>
      <c r="AY762" s="13"/>
      <c r="BB762" s="114"/>
    </row>
    <row r="763" spans="28:54" x14ac:dyDescent="0.4">
      <c r="AB763" s="115"/>
      <c r="AC763" s="115"/>
      <c r="AD763" s="115"/>
      <c r="AE763" s="115"/>
      <c r="AF763" s="115"/>
      <c r="AG763" s="122"/>
      <c r="AH763" s="122"/>
      <c r="AI763" s="122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15"/>
      <c r="AU763" s="115"/>
      <c r="AV763" s="115"/>
      <c r="AW763" s="115"/>
      <c r="AX763" s="26"/>
      <c r="AY763" s="13"/>
      <c r="BB763" s="114"/>
    </row>
    <row r="764" spans="28:54" x14ac:dyDescent="0.4">
      <c r="AB764" s="115"/>
      <c r="AC764" s="115"/>
      <c r="AD764" s="115"/>
      <c r="AE764" s="115"/>
      <c r="AF764" s="115"/>
      <c r="AG764" s="122"/>
      <c r="AH764" s="122"/>
      <c r="AI764" s="122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15"/>
      <c r="AU764" s="115"/>
      <c r="AV764" s="115"/>
      <c r="AW764" s="115"/>
      <c r="AX764" s="26"/>
      <c r="AY764" s="13"/>
      <c r="BB764" s="114"/>
    </row>
    <row r="765" spans="28:54" x14ac:dyDescent="0.4">
      <c r="AB765" s="115"/>
      <c r="AC765" s="115"/>
      <c r="AD765" s="115"/>
      <c r="AE765" s="115"/>
      <c r="AF765" s="115"/>
      <c r="AG765" s="122"/>
      <c r="AH765" s="122"/>
      <c r="AI765" s="122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115"/>
      <c r="AU765" s="115"/>
      <c r="AV765" s="115"/>
      <c r="AW765" s="115"/>
      <c r="AX765" s="26"/>
      <c r="AY765" s="13"/>
      <c r="BB765" s="114"/>
    </row>
    <row r="766" spans="28:54" x14ac:dyDescent="0.4">
      <c r="AB766" s="115"/>
      <c r="AC766" s="115"/>
      <c r="AD766" s="115"/>
      <c r="AE766" s="115"/>
      <c r="AF766" s="115"/>
      <c r="AG766" s="122"/>
      <c r="AH766" s="122"/>
      <c r="AI766" s="122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15"/>
      <c r="AU766" s="115"/>
      <c r="AV766" s="115"/>
      <c r="AW766" s="115"/>
      <c r="AX766" s="26"/>
      <c r="AY766" s="13"/>
      <c r="BB766" s="114"/>
    </row>
    <row r="767" spans="28:54" x14ac:dyDescent="0.4">
      <c r="AB767" s="115"/>
      <c r="AC767" s="115"/>
      <c r="AD767" s="115"/>
      <c r="AE767" s="115"/>
      <c r="AF767" s="115"/>
      <c r="AG767" s="122"/>
      <c r="AH767" s="122"/>
      <c r="AI767" s="122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115"/>
      <c r="AU767" s="115"/>
      <c r="AV767" s="115"/>
      <c r="AW767" s="115"/>
      <c r="AX767" s="26"/>
      <c r="AY767" s="13"/>
      <c r="BB767" s="114"/>
    </row>
    <row r="768" spans="28:54" x14ac:dyDescent="0.4">
      <c r="AB768" s="115"/>
      <c r="AC768" s="115"/>
      <c r="AD768" s="115"/>
      <c r="AE768" s="115"/>
      <c r="AF768" s="115"/>
      <c r="AG768" s="122"/>
      <c r="AH768" s="122"/>
      <c r="AI768" s="122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115"/>
      <c r="AU768" s="115"/>
      <c r="AV768" s="115"/>
      <c r="AW768" s="115"/>
      <c r="AX768" s="26"/>
      <c r="AY768" s="13"/>
      <c r="BB768" s="114"/>
    </row>
    <row r="769" spans="27:54" x14ac:dyDescent="0.4">
      <c r="AB769" s="115"/>
      <c r="AC769" s="115"/>
      <c r="AD769" s="115"/>
      <c r="AE769" s="115"/>
      <c r="AF769" s="115"/>
      <c r="AG769" s="122"/>
      <c r="AH769" s="122"/>
      <c r="AI769" s="122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15"/>
      <c r="AU769" s="115"/>
      <c r="AV769" s="115"/>
      <c r="AW769" s="115"/>
      <c r="AX769" s="26"/>
      <c r="AY769" s="13"/>
      <c r="BB769" s="114"/>
    </row>
    <row r="770" spans="27:54" x14ac:dyDescent="0.4">
      <c r="AB770" s="115"/>
      <c r="AC770" s="115"/>
      <c r="AD770" s="115"/>
      <c r="AE770" s="115"/>
      <c r="AF770" s="115"/>
      <c r="AG770" s="122"/>
      <c r="AH770" s="122"/>
      <c r="AI770" s="122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115"/>
      <c r="AU770" s="115"/>
      <c r="AV770" s="115"/>
      <c r="AW770" s="115"/>
      <c r="AX770" s="26"/>
      <c r="AY770" s="13"/>
      <c r="BB770" s="114"/>
    </row>
    <row r="771" spans="27:54" x14ac:dyDescent="0.4">
      <c r="AB771" s="115"/>
      <c r="AC771" s="115"/>
      <c r="AD771" s="115"/>
      <c r="AE771" s="115"/>
      <c r="AF771" s="115"/>
      <c r="AG771" s="122"/>
      <c r="AH771" s="122"/>
      <c r="AI771" s="122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15"/>
      <c r="AU771" s="115"/>
      <c r="AV771" s="115"/>
      <c r="AW771" s="115"/>
      <c r="AX771" s="26"/>
      <c r="AY771" s="13"/>
      <c r="BB771" s="114"/>
    </row>
    <row r="772" spans="27:54" x14ac:dyDescent="0.4">
      <c r="AB772" s="115"/>
      <c r="AC772" s="115"/>
      <c r="AD772" s="115"/>
      <c r="AE772" s="115"/>
      <c r="AF772" s="115"/>
      <c r="AG772" s="122"/>
      <c r="AH772" s="122"/>
      <c r="AI772" s="122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115"/>
      <c r="AT772" s="115"/>
      <c r="AU772" s="115"/>
      <c r="AV772" s="115"/>
      <c r="AW772" s="115"/>
      <c r="AX772" s="17"/>
      <c r="AY772" s="13"/>
      <c r="BB772" s="114"/>
    </row>
    <row r="773" spans="27:54" x14ac:dyDescent="0.4">
      <c r="AB773" s="115"/>
      <c r="AC773" s="115"/>
      <c r="AD773" s="115"/>
      <c r="AE773" s="115"/>
      <c r="AF773" s="115"/>
      <c r="AG773" s="122"/>
      <c r="AH773" s="122"/>
      <c r="AI773" s="122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115"/>
      <c r="AT773" s="115"/>
      <c r="AU773" s="115"/>
      <c r="AV773" s="115"/>
      <c r="AW773" s="115"/>
      <c r="AX773" s="26"/>
      <c r="AY773" s="13"/>
      <c r="BB773" s="114"/>
    </row>
    <row r="774" spans="27:54" x14ac:dyDescent="0.4">
      <c r="AB774" s="115"/>
      <c r="AC774" s="115"/>
      <c r="AD774" s="115"/>
      <c r="AE774" s="115"/>
      <c r="AF774" s="115"/>
      <c r="AG774" s="122"/>
      <c r="AH774" s="122"/>
      <c r="AI774" s="122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115"/>
      <c r="AT774" s="115"/>
      <c r="AU774" s="115"/>
      <c r="AV774" s="115"/>
      <c r="AW774" s="115"/>
      <c r="AX774" s="26"/>
      <c r="AY774" s="13"/>
      <c r="BB774" s="114"/>
    </row>
    <row r="775" spans="27:54" x14ac:dyDescent="0.4">
      <c r="AB775" s="115"/>
      <c r="AC775" s="115"/>
      <c r="AD775" s="115"/>
      <c r="AE775" s="115"/>
      <c r="AF775" s="115"/>
      <c r="AG775" s="122"/>
      <c r="AH775" s="122"/>
      <c r="AI775" s="122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115"/>
      <c r="AT775" s="115"/>
      <c r="AU775" s="115"/>
      <c r="AV775" s="115"/>
      <c r="AW775" s="115"/>
      <c r="AX775" s="26"/>
      <c r="AY775" s="13"/>
      <c r="BB775" s="114"/>
    </row>
    <row r="776" spans="27:54" x14ac:dyDescent="0.4">
      <c r="AB776" s="115"/>
      <c r="AC776" s="115"/>
      <c r="AD776" s="115"/>
      <c r="AE776" s="115"/>
      <c r="AF776" s="115"/>
      <c r="AG776" s="122"/>
      <c r="AH776" s="122"/>
      <c r="AI776" s="122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15"/>
      <c r="AU776" s="115"/>
      <c r="AV776" s="115"/>
      <c r="AW776" s="115"/>
      <c r="AX776" s="17"/>
      <c r="AY776" s="13"/>
      <c r="BB776" s="114"/>
    </row>
    <row r="777" spans="27:54" x14ac:dyDescent="0.4">
      <c r="AB777" s="115"/>
      <c r="AC777" s="115"/>
      <c r="AD777" s="115"/>
      <c r="AE777" s="115"/>
      <c r="AF777" s="115"/>
      <c r="AG777" s="122"/>
      <c r="AH777" s="122"/>
      <c r="AI777" s="122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115"/>
      <c r="AT777" s="115"/>
      <c r="AU777" s="115"/>
      <c r="AV777" s="115"/>
      <c r="AW777" s="115"/>
      <c r="AX777" s="26"/>
      <c r="AY777" s="13"/>
      <c r="BB777" s="114"/>
    </row>
    <row r="778" spans="27:54" x14ac:dyDescent="0.4">
      <c r="AB778" s="115"/>
      <c r="AC778" s="115"/>
      <c r="AD778" s="115"/>
      <c r="AE778" s="115"/>
      <c r="AF778" s="115"/>
      <c r="AG778" s="122"/>
      <c r="AH778" s="122"/>
      <c r="AI778" s="122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115"/>
      <c r="AT778" s="115"/>
      <c r="AU778" s="115"/>
      <c r="AV778" s="115"/>
      <c r="AW778" s="115"/>
      <c r="AX778" s="17"/>
      <c r="AY778" s="13"/>
      <c r="BB778" s="114"/>
    </row>
    <row r="779" spans="27:54" x14ac:dyDescent="0.4">
      <c r="AB779" s="115"/>
      <c r="AC779" s="115"/>
      <c r="AD779" s="115"/>
      <c r="AE779" s="115"/>
      <c r="AF779" s="115"/>
      <c r="AG779" s="122"/>
      <c r="AH779" s="122"/>
      <c r="AI779" s="122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115"/>
      <c r="AT779" s="115"/>
      <c r="AU779" s="115"/>
      <c r="AV779" s="115"/>
      <c r="AW779" s="115"/>
      <c r="AX779" s="26"/>
      <c r="AY779" s="13"/>
      <c r="BB779" s="114"/>
    </row>
    <row r="780" spans="27:54" x14ac:dyDescent="0.4">
      <c r="AB780" s="115"/>
      <c r="AC780" s="115"/>
      <c r="AD780" s="115"/>
      <c r="AE780" s="115"/>
      <c r="AF780" s="115"/>
      <c r="AG780" s="122"/>
      <c r="AH780" s="122"/>
      <c r="AI780" s="122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115"/>
      <c r="AT780" s="115"/>
      <c r="AU780" s="115"/>
      <c r="AV780" s="115"/>
      <c r="AW780" s="115"/>
      <c r="AX780" s="26"/>
      <c r="AY780" s="15"/>
      <c r="BB780" s="114"/>
    </row>
    <row r="781" spans="27:54" x14ac:dyDescent="0.4">
      <c r="AB781" s="115"/>
      <c r="AC781" s="115"/>
      <c r="AD781" s="115"/>
      <c r="AE781" s="115"/>
      <c r="AF781" s="115"/>
      <c r="AG781" s="122"/>
      <c r="AH781" s="122"/>
      <c r="AI781" s="122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115"/>
      <c r="AT781" s="115"/>
      <c r="AU781" s="115"/>
      <c r="AV781" s="115"/>
      <c r="AW781" s="115"/>
      <c r="AX781" s="17"/>
      <c r="AY781" s="15"/>
      <c r="BB781" s="114"/>
    </row>
    <row r="782" spans="27:54" x14ac:dyDescent="0.4">
      <c r="AB782" s="115"/>
      <c r="AC782" s="115"/>
      <c r="AD782" s="115"/>
      <c r="AE782" s="115"/>
      <c r="AF782" s="115"/>
      <c r="AG782" s="122"/>
      <c r="AH782" s="122"/>
      <c r="AI782" s="122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115"/>
      <c r="AT782" s="115"/>
      <c r="AU782" s="115"/>
      <c r="AV782" s="115"/>
      <c r="AW782" s="115"/>
      <c r="AX782" s="17"/>
      <c r="AY782" s="15"/>
      <c r="BB782" s="114"/>
    </row>
    <row r="783" spans="27:54" x14ac:dyDescent="0.4">
      <c r="AA783" s="115"/>
      <c r="AB783" s="115"/>
      <c r="AC783" s="115"/>
      <c r="AD783" s="115"/>
      <c r="AE783" s="115"/>
      <c r="AF783" s="115"/>
      <c r="AG783" s="122"/>
      <c r="AH783" s="122"/>
      <c r="AI783" s="122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115"/>
      <c r="AT783" s="115"/>
      <c r="AU783" s="115"/>
      <c r="AV783" s="115"/>
      <c r="AW783" s="115"/>
      <c r="AX783" s="26"/>
      <c r="AY783" s="15"/>
      <c r="BB783" s="114"/>
    </row>
    <row r="784" spans="27:54" x14ac:dyDescent="0.4">
      <c r="AA784" s="115"/>
      <c r="AB784" s="115"/>
      <c r="AC784" s="115"/>
      <c r="AD784" s="115"/>
      <c r="AE784" s="115"/>
      <c r="AF784" s="115"/>
      <c r="AG784" s="122"/>
      <c r="AH784" s="122"/>
      <c r="AI784" s="122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115"/>
      <c r="AT784" s="115"/>
      <c r="AU784" s="115"/>
      <c r="AV784" s="115"/>
      <c r="AW784" s="115"/>
      <c r="AX784" s="17"/>
      <c r="AY784" s="15"/>
      <c r="BB784" s="114"/>
    </row>
    <row r="785" spans="27:54" x14ac:dyDescent="0.4">
      <c r="AA785" s="115"/>
      <c r="AB785" s="115"/>
      <c r="AC785" s="115"/>
      <c r="AD785" s="115"/>
      <c r="AE785" s="115"/>
      <c r="AF785" s="115"/>
      <c r="AG785" s="122"/>
      <c r="AH785" s="122"/>
      <c r="AI785" s="122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115"/>
      <c r="AT785" s="115"/>
      <c r="AU785" s="115"/>
      <c r="AV785" s="115"/>
      <c r="AW785" s="115"/>
      <c r="AX785" s="26"/>
      <c r="AY785" s="15"/>
      <c r="BB785" s="114"/>
    </row>
    <row r="786" spans="27:54" x14ac:dyDescent="0.4">
      <c r="AA786" s="115"/>
      <c r="AB786" s="115"/>
      <c r="AC786" s="115"/>
      <c r="AD786" s="115"/>
      <c r="AE786" s="115"/>
      <c r="AF786" s="115"/>
      <c r="AG786" s="122"/>
      <c r="AH786" s="122"/>
      <c r="AI786" s="122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15"/>
      <c r="AU786" s="115"/>
      <c r="AV786" s="115"/>
      <c r="AW786" s="115"/>
      <c r="AX786" s="26"/>
      <c r="AY786" s="15"/>
      <c r="BB786" s="114"/>
    </row>
    <row r="787" spans="27:54" x14ac:dyDescent="0.4">
      <c r="AA787" s="115"/>
      <c r="AB787" s="115"/>
      <c r="AC787" s="115"/>
      <c r="AD787" s="115"/>
      <c r="AE787" s="115"/>
      <c r="AF787" s="115"/>
      <c r="AG787" s="122"/>
      <c r="AH787" s="122"/>
      <c r="AI787" s="122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115"/>
      <c r="AT787" s="115"/>
      <c r="AU787" s="115"/>
      <c r="AV787" s="115"/>
      <c r="AW787" s="115"/>
      <c r="AX787" s="17"/>
      <c r="AY787" s="15"/>
      <c r="BB787" s="114"/>
    </row>
    <row r="788" spans="27:54" x14ac:dyDescent="0.4">
      <c r="AA788" s="115"/>
      <c r="AB788" s="115"/>
      <c r="AC788" s="115"/>
      <c r="AD788" s="115"/>
      <c r="AE788" s="115"/>
      <c r="AF788" s="115"/>
      <c r="AG788" s="122"/>
      <c r="AH788" s="122"/>
      <c r="AI788" s="122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115"/>
      <c r="AT788" s="115"/>
      <c r="AU788" s="115"/>
      <c r="AV788" s="115"/>
      <c r="AW788" s="115"/>
      <c r="AX788" s="26"/>
      <c r="AY788" s="15"/>
      <c r="BB788" s="114"/>
    </row>
    <row r="789" spans="27:54" x14ac:dyDescent="0.4">
      <c r="AA789" s="115"/>
      <c r="AB789" s="115"/>
      <c r="AC789" s="115"/>
      <c r="AD789" s="115"/>
      <c r="AE789" s="115"/>
      <c r="AF789" s="115"/>
      <c r="AG789" s="122"/>
      <c r="AH789" s="122"/>
      <c r="AI789" s="122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15"/>
      <c r="AU789" s="115"/>
      <c r="AV789" s="115"/>
      <c r="AW789" s="115"/>
      <c r="AX789" s="17"/>
      <c r="AY789" s="15"/>
      <c r="BB789" s="114"/>
    </row>
    <row r="790" spans="27:54" x14ac:dyDescent="0.4">
      <c r="AA790" s="115"/>
      <c r="AB790" s="115"/>
      <c r="AC790" s="115"/>
      <c r="AD790" s="115"/>
      <c r="AE790" s="115"/>
      <c r="AF790" s="115"/>
      <c r="AG790" s="122"/>
      <c r="AH790" s="122"/>
      <c r="AI790" s="122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115"/>
      <c r="AU790" s="115"/>
      <c r="AV790" s="115"/>
      <c r="AW790" s="115"/>
      <c r="AX790" s="17"/>
      <c r="AY790" s="15"/>
      <c r="BB790" s="114"/>
    </row>
    <row r="791" spans="27:54" x14ac:dyDescent="0.4">
      <c r="AA791" s="115"/>
      <c r="AB791" s="115"/>
      <c r="AC791" s="115"/>
      <c r="AD791" s="115"/>
      <c r="AE791" s="115"/>
      <c r="AF791" s="115"/>
      <c r="AG791" s="122"/>
      <c r="AH791" s="122"/>
      <c r="AI791" s="122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15"/>
      <c r="AU791" s="115"/>
      <c r="AV791" s="115"/>
      <c r="AW791" s="115"/>
      <c r="AX791" s="26"/>
      <c r="AY791" s="15"/>
      <c r="BB791" s="114"/>
    </row>
    <row r="792" spans="27:54" x14ac:dyDescent="0.4">
      <c r="AA792" s="115"/>
      <c r="AB792" s="115"/>
      <c r="AC792" s="115"/>
      <c r="AD792" s="115"/>
      <c r="AE792" s="115"/>
      <c r="AF792" s="115"/>
      <c r="AG792" s="122"/>
      <c r="AH792" s="122"/>
      <c r="AI792" s="122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115"/>
      <c r="AU792" s="115"/>
      <c r="AV792" s="115"/>
      <c r="AW792" s="115"/>
      <c r="AX792" s="26"/>
      <c r="AY792" s="15"/>
      <c r="BB792" s="114"/>
    </row>
    <row r="793" spans="27:54" x14ac:dyDescent="0.4">
      <c r="AA793" s="115"/>
      <c r="AB793" s="115"/>
      <c r="AC793" s="115"/>
      <c r="AD793" s="115"/>
      <c r="AE793" s="115"/>
      <c r="AF793" s="115"/>
      <c r="AG793" s="122"/>
      <c r="AH793" s="122"/>
      <c r="AI793" s="122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15"/>
      <c r="AU793" s="115"/>
      <c r="AV793" s="115"/>
      <c r="AW793" s="115"/>
      <c r="AX793" s="26"/>
      <c r="AY793" s="15"/>
      <c r="BB793" s="114"/>
    </row>
    <row r="794" spans="27:54" x14ac:dyDescent="0.4">
      <c r="AA794" s="115"/>
      <c r="AB794" s="115"/>
      <c r="AC794" s="115"/>
      <c r="AD794" s="115"/>
      <c r="AE794" s="115"/>
      <c r="AF794" s="115"/>
      <c r="AG794" s="122"/>
      <c r="AH794" s="122"/>
      <c r="AI794" s="122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115"/>
      <c r="AU794" s="115"/>
      <c r="AV794" s="115"/>
      <c r="AW794" s="115"/>
      <c r="AX794" s="26"/>
      <c r="AY794" s="15"/>
      <c r="BB794" s="114"/>
    </row>
    <row r="795" spans="27:54" x14ac:dyDescent="0.4">
      <c r="AA795" s="115"/>
      <c r="AB795" s="115"/>
      <c r="AC795" s="115"/>
      <c r="AD795" s="115"/>
      <c r="AE795" s="115"/>
      <c r="AF795" s="115"/>
      <c r="AG795" s="122"/>
      <c r="AH795" s="122"/>
      <c r="AI795" s="122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15"/>
      <c r="AU795" s="115"/>
      <c r="AV795" s="115"/>
      <c r="AW795" s="115"/>
      <c r="AX795" s="26"/>
      <c r="AY795" s="15"/>
      <c r="BB795" s="114"/>
    </row>
    <row r="796" spans="27:54" x14ac:dyDescent="0.4">
      <c r="AA796" s="115"/>
      <c r="AB796" s="115"/>
      <c r="AC796" s="115"/>
      <c r="AD796" s="115"/>
      <c r="AE796" s="115"/>
      <c r="AF796" s="115"/>
      <c r="AG796" s="122"/>
      <c r="AH796" s="122"/>
      <c r="AI796" s="122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115"/>
      <c r="AT796" s="115"/>
      <c r="AU796" s="115"/>
      <c r="AV796" s="115"/>
      <c r="AW796" s="115"/>
      <c r="AX796" s="26"/>
      <c r="AY796" s="15"/>
      <c r="BB796" s="114"/>
    </row>
    <row r="797" spans="27:54" x14ac:dyDescent="0.4">
      <c r="AA797" s="115"/>
      <c r="AB797" s="115"/>
      <c r="AC797" s="115"/>
      <c r="AD797" s="115"/>
      <c r="AE797" s="115"/>
      <c r="AF797" s="115"/>
      <c r="AG797" s="122"/>
      <c r="AH797" s="122"/>
      <c r="AI797" s="122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15"/>
      <c r="AU797" s="115"/>
      <c r="AV797" s="115"/>
      <c r="AW797" s="115"/>
      <c r="AX797" s="26"/>
      <c r="AY797" s="15"/>
      <c r="BB797" s="114"/>
    </row>
    <row r="798" spans="27:54" x14ac:dyDescent="0.4">
      <c r="AA798" s="115"/>
      <c r="AB798" s="115"/>
      <c r="AC798" s="115"/>
      <c r="AD798" s="115"/>
      <c r="AE798" s="115"/>
      <c r="AF798" s="115"/>
      <c r="AG798" s="122"/>
      <c r="AH798" s="122"/>
      <c r="AI798" s="122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15"/>
      <c r="AU798" s="115"/>
      <c r="AV798" s="115"/>
      <c r="AW798" s="115"/>
      <c r="AX798" s="17"/>
      <c r="AY798" s="15"/>
      <c r="BB798" s="114"/>
    </row>
    <row r="799" spans="27:54" x14ac:dyDescent="0.4">
      <c r="AA799" s="115"/>
      <c r="AB799" s="115"/>
      <c r="AC799" s="115"/>
      <c r="AD799" s="115"/>
      <c r="AE799" s="115"/>
      <c r="AF799" s="115"/>
      <c r="AG799" s="122"/>
      <c r="AH799" s="122"/>
      <c r="AI799" s="122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15"/>
      <c r="AU799" s="115"/>
      <c r="AV799" s="115"/>
      <c r="AW799" s="115"/>
      <c r="AX799" s="26"/>
      <c r="AY799" s="15"/>
      <c r="BB799" s="114"/>
    </row>
    <row r="800" spans="27:54" x14ac:dyDescent="0.4">
      <c r="AA800" s="115"/>
      <c r="AB800" s="115"/>
      <c r="AC800" s="115"/>
      <c r="AD800" s="115"/>
      <c r="AE800" s="115"/>
      <c r="AF800" s="115"/>
      <c r="AG800" s="122"/>
      <c r="AH800" s="122"/>
      <c r="AI800" s="122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15"/>
      <c r="AU800" s="115"/>
      <c r="AV800" s="115"/>
      <c r="AW800" s="115"/>
      <c r="AX800" s="26"/>
      <c r="AY800" s="15"/>
      <c r="BB800" s="114"/>
    </row>
    <row r="801" spans="5:54" x14ac:dyDescent="0.4">
      <c r="AA801" s="115"/>
      <c r="AB801" s="115"/>
      <c r="AC801" s="115"/>
      <c r="AD801" s="115"/>
      <c r="AE801" s="115"/>
      <c r="AF801" s="115"/>
      <c r="AG801" s="122"/>
      <c r="AH801" s="122"/>
      <c r="AI801" s="122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115"/>
      <c r="AU801" s="115"/>
      <c r="AV801" s="115"/>
      <c r="AW801" s="115"/>
      <c r="AX801" s="26"/>
      <c r="AY801" s="15"/>
      <c r="BB801" s="114"/>
    </row>
    <row r="802" spans="5:54" x14ac:dyDescent="0.4">
      <c r="AA802" s="115"/>
      <c r="AB802" s="115"/>
      <c r="AC802" s="115"/>
      <c r="AD802" s="115"/>
      <c r="AE802" s="115"/>
      <c r="AF802" s="115"/>
      <c r="AG802" s="122"/>
      <c r="AH802" s="122"/>
      <c r="AI802" s="122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115"/>
      <c r="AU802" s="115"/>
      <c r="AV802" s="115"/>
      <c r="AW802" s="115"/>
      <c r="AX802" s="26"/>
      <c r="AY802" s="13"/>
      <c r="BB802" s="114"/>
    </row>
    <row r="803" spans="5:54" x14ac:dyDescent="0.4">
      <c r="AA803" s="115"/>
      <c r="AB803" s="115"/>
      <c r="AC803" s="115"/>
      <c r="AD803" s="115"/>
      <c r="AE803" s="115"/>
      <c r="AF803" s="115"/>
      <c r="AG803" s="122"/>
      <c r="AH803" s="122"/>
      <c r="AI803" s="122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15"/>
      <c r="AU803" s="115"/>
      <c r="AV803" s="115"/>
      <c r="AW803" s="115"/>
      <c r="AX803" s="17"/>
      <c r="AY803" s="13"/>
      <c r="BB803" s="114"/>
    </row>
    <row r="804" spans="5:54" x14ac:dyDescent="0.4">
      <c r="AA804" s="115"/>
      <c r="AB804" s="115"/>
      <c r="AC804" s="115"/>
      <c r="AD804" s="115"/>
      <c r="AE804" s="115"/>
      <c r="AF804" s="115"/>
      <c r="AG804" s="122"/>
      <c r="AH804" s="122"/>
      <c r="AI804" s="122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15"/>
      <c r="AU804" s="115"/>
      <c r="AV804" s="115"/>
      <c r="AW804" s="115"/>
      <c r="AX804" s="26"/>
      <c r="AY804" s="13"/>
      <c r="BB804" s="114"/>
    </row>
    <row r="805" spans="5:54" x14ac:dyDescent="0.4">
      <c r="AA805" s="115"/>
      <c r="AB805" s="115"/>
      <c r="AC805" s="115"/>
      <c r="AD805" s="115"/>
      <c r="AE805" s="115"/>
      <c r="AF805" s="115"/>
      <c r="AG805" s="122"/>
      <c r="AH805" s="122"/>
      <c r="AI805" s="122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15"/>
      <c r="AU805" s="115"/>
      <c r="AV805" s="115"/>
      <c r="AW805" s="115"/>
      <c r="AX805" s="26"/>
      <c r="AY805" s="13"/>
      <c r="BB805" s="114"/>
    </row>
    <row r="806" spans="5:54" x14ac:dyDescent="0.4">
      <c r="AA806" s="115"/>
      <c r="AB806" s="115"/>
      <c r="AC806" s="115"/>
      <c r="AD806" s="115"/>
      <c r="AE806" s="115"/>
      <c r="AF806" s="115"/>
      <c r="AG806" s="122"/>
      <c r="AH806" s="122"/>
      <c r="AI806" s="122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15"/>
      <c r="AU806" s="115"/>
      <c r="AV806" s="115"/>
      <c r="AW806" s="115"/>
      <c r="AX806" s="26"/>
      <c r="AY806" s="13"/>
      <c r="BB806" s="114"/>
    </row>
    <row r="807" spans="5:54" x14ac:dyDescent="0.4">
      <c r="AA807" s="115"/>
      <c r="AB807" s="115"/>
      <c r="AC807" s="115"/>
      <c r="AD807" s="115"/>
      <c r="AE807" s="115"/>
      <c r="AF807" s="115"/>
      <c r="AG807" s="122"/>
      <c r="AH807" s="122"/>
      <c r="AI807" s="122"/>
      <c r="AJ807" s="115"/>
      <c r="AK807" s="115"/>
      <c r="AL807" s="115"/>
      <c r="AM807" s="115"/>
      <c r="AN807" s="115"/>
      <c r="AO807" s="115"/>
      <c r="AP807" s="115"/>
      <c r="AQ807" s="115"/>
      <c r="AR807" s="115"/>
      <c r="AS807" s="115"/>
      <c r="AT807" s="115"/>
      <c r="AU807" s="115"/>
      <c r="AV807" s="115"/>
      <c r="AW807" s="115"/>
      <c r="AX807" s="26"/>
      <c r="AY807" s="13"/>
      <c r="BB807" s="114"/>
    </row>
    <row r="808" spans="5:54" x14ac:dyDescent="0.4">
      <c r="AA808" s="115"/>
      <c r="AB808" s="115"/>
      <c r="AC808" s="115"/>
      <c r="AD808" s="115"/>
      <c r="AE808" s="115"/>
      <c r="AF808" s="115"/>
      <c r="AG808" s="122"/>
      <c r="AH808" s="122"/>
      <c r="AI808" s="122"/>
      <c r="AJ808" s="115"/>
      <c r="AK808" s="115"/>
      <c r="AL808" s="115"/>
      <c r="AM808" s="115"/>
      <c r="AN808" s="115"/>
      <c r="AO808" s="115"/>
      <c r="AP808" s="115"/>
      <c r="AQ808" s="115"/>
      <c r="AR808" s="115"/>
      <c r="AS808" s="115"/>
      <c r="AT808" s="115"/>
      <c r="AU808" s="115"/>
      <c r="AV808" s="115"/>
      <c r="AW808" s="115"/>
      <c r="AX808" s="26"/>
      <c r="AY808" s="13"/>
      <c r="BB808" s="114"/>
    </row>
    <row r="809" spans="5:54" x14ac:dyDescent="0.4">
      <c r="AA809" s="115"/>
      <c r="AB809" s="115"/>
      <c r="AC809" s="115"/>
      <c r="AD809" s="115"/>
      <c r="AE809" s="115"/>
      <c r="AF809" s="115"/>
      <c r="AG809" s="122"/>
      <c r="AH809" s="122"/>
      <c r="AI809" s="122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15"/>
      <c r="AU809" s="115"/>
      <c r="AV809" s="115"/>
      <c r="AW809" s="115"/>
      <c r="AX809" s="26"/>
      <c r="AY809" s="13"/>
      <c r="BB809" s="114"/>
    </row>
    <row r="810" spans="5:54" x14ac:dyDescent="0.4">
      <c r="AA810" s="115"/>
      <c r="AB810" s="115"/>
      <c r="AC810" s="115"/>
      <c r="AD810" s="115"/>
      <c r="AE810" s="115"/>
      <c r="AF810" s="115"/>
      <c r="AG810" s="122"/>
      <c r="AH810" s="122"/>
      <c r="AI810" s="122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15"/>
      <c r="AU810" s="115"/>
      <c r="AV810" s="115"/>
      <c r="AW810" s="115"/>
      <c r="AX810" s="17"/>
      <c r="AY810" s="13"/>
      <c r="BB810" s="114"/>
    </row>
    <row r="811" spans="5:54" x14ac:dyDescent="0.4">
      <c r="AA811" s="115"/>
      <c r="AB811" s="115"/>
      <c r="AC811" s="115"/>
      <c r="AD811" s="115"/>
      <c r="AE811" s="115"/>
      <c r="AF811" s="115"/>
      <c r="AG811" s="122"/>
      <c r="AH811" s="122"/>
      <c r="AI811" s="122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15"/>
      <c r="AU811" s="115"/>
      <c r="AV811" s="115"/>
      <c r="AW811" s="115"/>
      <c r="AX811" s="26"/>
      <c r="AY811" s="13"/>
      <c r="BB811" s="114"/>
    </row>
    <row r="812" spans="5:54" x14ac:dyDescent="0.4">
      <c r="AA812" s="115"/>
      <c r="AB812" s="115"/>
      <c r="AC812" s="115"/>
      <c r="AD812" s="115"/>
      <c r="AE812" s="115"/>
      <c r="AF812" s="115"/>
      <c r="AG812" s="122"/>
      <c r="AH812" s="122"/>
      <c r="AI812" s="122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15"/>
      <c r="AU812" s="115"/>
      <c r="AV812" s="115"/>
      <c r="AW812" s="115"/>
      <c r="AX812" s="26"/>
      <c r="AY812" s="13"/>
      <c r="BB812" s="114"/>
    </row>
    <row r="813" spans="5:54" x14ac:dyDescent="0.4"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22"/>
      <c r="AH813" s="122"/>
      <c r="AI813" s="122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115"/>
      <c r="AU813" s="115"/>
      <c r="AV813" s="115"/>
      <c r="AW813" s="115"/>
      <c r="AX813" s="26"/>
      <c r="AY813" s="13"/>
      <c r="BB813" s="114"/>
    </row>
    <row r="814" spans="5:54" x14ac:dyDescent="0.4"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22"/>
      <c r="AH814" s="122"/>
      <c r="AI814" s="122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15"/>
      <c r="AU814" s="115"/>
      <c r="AV814" s="115"/>
      <c r="AW814" s="115"/>
      <c r="AX814" s="26"/>
      <c r="AY814" s="13"/>
      <c r="BB814" s="114"/>
    </row>
    <row r="815" spans="5:54" x14ac:dyDescent="0.4"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22"/>
      <c r="AH815" s="122"/>
      <c r="AI815" s="122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15"/>
      <c r="AU815" s="115"/>
      <c r="AV815" s="115"/>
      <c r="AW815" s="115"/>
      <c r="AX815" s="26"/>
      <c r="AY815" s="13"/>
      <c r="BB815" s="114"/>
    </row>
    <row r="816" spans="5:54" x14ac:dyDescent="0.4"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22"/>
      <c r="AH816" s="122"/>
      <c r="AI816" s="122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15"/>
      <c r="AU816" s="115"/>
      <c r="AV816" s="115"/>
      <c r="AW816" s="115"/>
      <c r="AX816" s="26"/>
      <c r="AY816" s="13"/>
      <c r="BB816" s="114"/>
    </row>
    <row r="817" spans="4:54" x14ac:dyDescent="0.4"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22"/>
      <c r="AH817" s="122"/>
      <c r="AI817" s="122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115"/>
      <c r="AT817" s="115"/>
      <c r="AU817" s="115"/>
      <c r="AV817" s="115"/>
      <c r="AW817" s="115"/>
      <c r="AX817" s="26"/>
      <c r="AY817" s="13"/>
      <c r="BB817" s="114"/>
    </row>
    <row r="818" spans="4:54" x14ac:dyDescent="0.4"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22"/>
      <c r="AH818" s="122"/>
      <c r="AI818" s="122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115"/>
      <c r="AT818" s="115"/>
      <c r="AU818" s="115"/>
      <c r="AV818" s="115"/>
      <c r="AW818" s="115"/>
      <c r="AX818" s="26"/>
      <c r="AY818" s="13"/>
      <c r="BB818" s="114"/>
    </row>
    <row r="819" spans="4:54" x14ac:dyDescent="0.4"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22"/>
      <c r="AH819" s="122"/>
      <c r="AI819" s="122"/>
      <c r="AJ819" s="115"/>
      <c r="AK819" s="115"/>
      <c r="AL819" s="115"/>
      <c r="AM819" s="115"/>
      <c r="AN819" s="115"/>
      <c r="AO819" s="115"/>
      <c r="AP819" s="115"/>
      <c r="AQ819" s="115"/>
      <c r="AR819" s="115"/>
      <c r="AS819" s="115"/>
      <c r="AT819" s="115"/>
      <c r="AU819" s="115"/>
      <c r="AV819" s="115"/>
      <c r="AW819" s="115"/>
      <c r="AX819" s="26"/>
      <c r="AY819" s="13"/>
      <c r="BB819" s="114"/>
    </row>
    <row r="820" spans="4:54" x14ac:dyDescent="0.4"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22"/>
      <c r="AH820" s="122"/>
      <c r="AI820" s="122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115"/>
      <c r="AT820" s="115"/>
      <c r="AU820" s="115"/>
      <c r="AV820" s="115"/>
      <c r="AW820" s="115"/>
      <c r="AX820" s="26"/>
      <c r="AY820" s="13"/>
      <c r="BB820" s="114"/>
    </row>
    <row r="821" spans="4:54" x14ac:dyDescent="0.4"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22"/>
      <c r="AH821" s="122"/>
      <c r="AI821" s="122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15"/>
      <c r="AU821" s="115"/>
      <c r="AV821" s="115"/>
      <c r="AW821" s="115"/>
      <c r="AX821" s="26"/>
      <c r="AY821" s="13"/>
      <c r="BB821" s="114"/>
    </row>
    <row r="822" spans="4:54" x14ac:dyDescent="0.4"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22"/>
      <c r="AH822" s="122"/>
      <c r="AI822" s="122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115"/>
      <c r="AU822" s="115"/>
      <c r="AV822" s="115"/>
      <c r="AW822" s="115"/>
      <c r="AX822" s="26"/>
      <c r="AY822" s="13"/>
      <c r="BB822" s="114"/>
    </row>
    <row r="823" spans="4:54" x14ac:dyDescent="0.4"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22"/>
      <c r="AH823" s="122"/>
      <c r="AI823" s="122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115"/>
      <c r="AU823" s="115"/>
      <c r="AV823" s="115"/>
      <c r="AW823" s="115"/>
      <c r="AX823" s="26"/>
      <c r="AY823" s="13"/>
      <c r="BB823" s="114"/>
    </row>
    <row r="824" spans="4:54" x14ac:dyDescent="0.4"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22"/>
      <c r="AH824" s="122"/>
      <c r="AI824" s="122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115"/>
      <c r="AU824" s="115"/>
      <c r="AV824" s="115"/>
      <c r="AW824" s="115"/>
      <c r="AX824" s="26"/>
      <c r="AY824" s="13"/>
      <c r="BB824" s="114"/>
    </row>
    <row r="825" spans="4:54" x14ac:dyDescent="0.4"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22"/>
      <c r="AH825" s="122"/>
      <c r="AI825" s="122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15"/>
      <c r="AU825" s="115"/>
      <c r="AV825" s="115"/>
      <c r="AW825" s="115"/>
      <c r="AX825" s="26"/>
      <c r="AY825" s="13"/>
      <c r="BB825" s="114"/>
    </row>
    <row r="826" spans="4:54" x14ac:dyDescent="0.4"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22"/>
      <c r="AH826" s="122"/>
      <c r="AI826" s="122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115"/>
      <c r="AU826" s="115"/>
      <c r="AV826" s="115"/>
      <c r="AW826" s="115"/>
      <c r="AX826" s="26"/>
      <c r="AY826" s="13"/>
      <c r="BB826" s="114"/>
    </row>
    <row r="827" spans="4:54" x14ac:dyDescent="0.4"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22"/>
      <c r="AH827" s="122"/>
      <c r="AI827" s="122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15"/>
      <c r="AU827" s="115"/>
      <c r="AV827" s="115"/>
      <c r="AW827" s="115"/>
      <c r="AX827" s="26"/>
      <c r="AY827" s="13"/>
      <c r="BB827" s="114"/>
    </row>
    <row r="828" spans="4:54" x14ac:dyDescent="0.4"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22"/>
      <c r="AH828" s="122"/>
      <c r="AI828" s="122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15"/>
      <c r="AU828" s="115"/>
      <c r="AV828" s="115"/>
      <c r="AW828" s="115"/>
      <c r="AX828" s="26"/>
      <c r="AY828" s="13"/>
      <c r="BB828" s="114"/>
    </row>
    <row r="829" spans="4:54" x14ac:dyDescent="0.4"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22"/>
      <c r="AH829" s="122"/>
      <c r="AI829" s="122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15"/>
      <c r="AU829" s="115"/>
      <c r="AV829" s="115"/>
      <c r="AW829" s="115"/>
      <c r="AX829" s="17"/>
      <c r="AY829" s="13"/>
      <c r="BB829" s="114"/>
    </row>
    <row r="830" spans="4:54" x14ac:dyDescent="0.4"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22"/>
      <c r="AH830" s="122"/>
      <c r="AI830" s="122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15"/>
      <c r="AU830" s="115"/>
      <c r="AV830" s="115"/>
      <c r="AW830" s="115"/>
      <c r="AX830" s="26"/>
      <c r="AY830" s="13"/>
      <c r="BB830" s="114"/>
    </row>
    <row r="831" spans="4:54" x14ac:dyDescent="0.4"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22"/>
      <c r="AH831" s="122"/>
      <c r="AI831" s="122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15"/>
      <c r="AU831" s="115"/>
      <c r="AV831" s="115"/>
      <c r="AW831" s="115"/>
      <c r="AX831" s="26"/>
      <c r="AY831" s="13"/>
      <c r="BB831" s="114"/>
    </row>
    <row r="832" spans="4:54" x14ac:dyDescent="0.4"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22"/>
      <c r="AH832" s="122"/>
      <c r="AI832" s="122"/>
      <c r="AJ832" s="115"/>
      <c r="AK832" s="115"/>
      <c r="AL832" s="115"/>
      <c r="AM832" s="115"/>
      <c r="AN832" s="115"/>
      <c r="AO832" s="115"/>
      <c r="AP832" s="115"/>
      <c r="AQ832" s="115"/>
      <c r="AR832" s="115"/>
      <c r="AS832" s="115"/>
      <c r="AT832" s="115"/>
      <c r="AU832" s="115"/>
      <c r="AV832" s="115"/>
      <c r="AW832" s="115"/>
      <c r="AX832" s="26"/>
      <c r="AY832" s="13"/>
      <c r="BB832" s="114"/>
    </row>
    <row r="833" spans="3:54" x14ac:dyDescent="0.4"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22"/>
      <c r="AH833" s="122"/>
      <c r="AI833" s="122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115"/>
      <c r="AT833" s="115"/>
      <c r="AU833" s="115"/>
      <c r="AV833" s="115"/>
      <c r="AW833" s="115"/>
      <c r="AX833" s="26"/>
      <c r="AY833" s="15"/>
      <c r="BB833" s="114"/>
    </row>
    <row r="834" spans="3:54" x14ac:dyDescent="0.4"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22"/>
      <c r="AH834" s="122"/>
      <c r="AI834" s="122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115"/>
      <c r="AT834" s="115"/>
      <c r="AU834" s="115"/>
      <c r="AV834" s="115"/>
      <c r="AW834" s="115"/>
      <c r="AX834" s="26"/>
      <c r="AY834" s="15"/>
      <c r="BB834" s="114"/>
    </row>
    <row r="835" spans="3:54" x14ac:dyDescent="0.4"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22"/>
      <c r="AH835" s="122"/>
      <c r="AI835" s="122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115"/>
      <c r="AT835" s="115"/>
      <c r="AU835" s="115"/>
      <c r="AV835" s="115"/>
      <c r="AW835" s="115"/>
      <c r="AX835" s="26"/>
      <c r="AY835" s="15"/>
      <c r="BB835" s="114"/>
    </row>
    <row r="836" spans="3:54" x14ac:dyDescent="0.4"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22"/>
      <c r="AH836" s="122"/>
      <c r="AI836" s="122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15"/>
      <c r="AU836" s="115"/>
      <c r="AV836" s="115"/>
      <c r="AW836" s="115"/>
      <c r="AX836" s="26"/>
      <c r="AY836" s="13"/>
      <c r="BB836" s="114"/>
    </row>
    <row r="837" spans="3:54" x14ac:dyDescent="0.4"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22"/>
      <c r="AH837" s="122"/>
      <c r="AI837" s="122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115"/>
      <c r="AT837" s="115"/>
      <c r="AU837" s="115"/>
      <c r="AV837" s="115"/>
      <c r="AW837" s="115"/>
      <c r="AX837" s="26"/>
      <c r="AY837" s="13"/>
      <c r="BB837" s="114"/>
    </row>
    <row r="838" spans="3:54" x14ac:dyDescent="0.4"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22"/>
      <c r="AH838" s="122"/>
      <c r="AI838" s="122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115"/>
      <c r="AT838" s="115"/>
      <c r="AU838" s="115"/>
      <c r="AV838" s="115"/>
      <c r="AW838" s="115"/>
      <c r="AX838" s="26"/>
      <c r="AY838" s="13"/>
      <c r="BB838" s="114"/>
    </row>
    <row r="839" spans="3:54" x14ac:dyDescent="0.4"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22"/>
      <c r="AH839" s="122"/>
      <c r="AI839" s="122"/>
      <c r="AJ839" s="115"/>
      <c r="AK839" s="115"/>
      <c r="AL839" s="115"/>
      <c r="AM839" s="115"/>
      <c r="AN839" s="115"/>
      <c r="AO839" s="115"/>
      <c r="AP839" s="115"/>
      <c r="AQ839" s="115"/>
      <c r="AR839" s="115"/>
      <c r="AS839" s="115"/>
      <c r="AT839" s="115"/>
      <c r="AU839" s="115"/>
      <c r="AV839" s="115"/>
      <c r="AW839" s="115"/>
      <c r="AX839" s="17"/>
      <c r="AY839" s="13"/>
      <c r="BB839" s="114"/>
    </row>
    <row r="840" spans="3:54" x14ac:dyDescent="0.4"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22"/>
      <c r="AH840" s="122"/>
      <c r="AI840" s="122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15"/>
      <c r="AU840" s="115"/>
      <c r="AV840" s="115"/>
      <c r="AW840" s="115"/>
      <c r="AX840" s="26"/>
      <c r="AY840" s="13"/>
      <c r="BB840" s="114"/>
    </row>
    <row r="841" spans="3:54" x14ac:dyDescent="0.4"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22"/>
      <c r="AH841" s="122"/>
      <c r="AI841" s="122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115"/>
      <c r="AT841" s="115"/>
      <c r="AU841" s="115"/>
      <c r="AV841" s="115"/>
      <c r="AW841" s="115"/>
      <c r="AX841" s="26"/>
      <c r="AY841" s="25"/>
      <c r="BB841" s="114"/>
    </row>
    <row r="842" spans="3:54" x14ac:dyDescent="0.4"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22"/>
      <c r="AH842" s="122"/>
      <c r="AI842" s="122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15"/>
      <c r="AU842" s="115"/>
      <c r="AV842" s="115"/>
      <c r="AW842" s="115"/>
      <c r="AX842" s="26"/>
      <c r="AY842" s="13"/>
      <c r="BB842" s="114"/>
    </row>
    <row r="843" spans="3:54" x14ac:dyDescent="0.4"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22"/>
      <c r="AH843" s="122"/>
      <c r="AI843" s="122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115"/>
      <c r="AU843" s="115"/>
      <c r="AV843" s="115"/>
      <c r="AW843" s="115"/>
      <c r="AX843" s="26"/>
      <c r="AY843" s="13"/>
      <c r="BB843" s="114"/>
    </row>
    <row r="844" spans="3:54" x14ac:dyDescent="0.4"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22"/>
      <c r="AH844" s="122"/>
      <c r="AI844" s="122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15"/>
      <c r="AU844" s="115"/>
      <c r="AV844" s="115"/>
      <c r="AW844" s="115"/>
      <c r="AX844" s="26"/>
      <c r="AY844" s="13"/>
      <c r="BB844" s="114"/>
    </row>
    <row r="845" spans="3:54" x14ac:dyDescent="0.4"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22"/>
      <c r="AH845" s="122"/>
      <c r="AI845" s="122"/>
      <c r="AJ845" s="115"/>
      <c r="AK845" s="115"/>
      <c r="AL845" s="115"/>
      <c r="AM845" s="115"/>
      <c r="AN845" s="115"/>
      <c r="AO845" s="115"/>
      <c r="AP845" s="115"/>
      <c r="AQ845" s="115"/>
      <c r="AR845" s="115"/>
      <c r="AS845" s="115"/>
      <c r="AT845" s="115"/>
      <c r="AU845" s="115"/>
      <c r="AV845" s="115"/>
      <c r="AW845" s="115"/>
      <c r="AX845" s="26"/>
      <c r="AY845" s="13"/>
      <c r="BB845" s="114"/>
    </row>
    <row r="846" spans="3:54" x14ac:dyDescent="0.4"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22"/>
      <c r="AH846" s="122"/>
      <c r="AI846" s="122"/>
      <c r="AJ846" s="115"/>
      <c r="AK846" s="115"/>
      <c r="AL846" s="115"/>
      <c r="AM846" s="115"/>
      <c r="AX846" s="26"/>
      <c r="AY846" s="13"/>
      <c r="BB846" s="114"/>
    </row>
    <row r="847" spans="3:54" x14ac:dyDescent="0.4"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22"/>
      <c r="AH847" s="122"/>
      <c r="AI847" s="122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15"/>
      <c r="AU847" s="115"/>
      <c r="AV847" s="115"/>
      <c r="AW847" s="115"/>
      <c r="AX847" s="26"/>
      <c r="AY847" s="13"/>
      <c r="BB847" s="114"/>
    </row>
    <row r="848" spans="3:54" x14ac:dyDescent="0.4"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22"/>
      <c r="AH848" s="122"/>
      <c r="AI848" s="122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115"/>
      <c r="AT848" s="115"/>
      <c r="AU848" s="115"/>
      <c r="AV848" s="115"/>
      <c r="AW848" s="115"/>
      <c r="AX848" s="17"/>
      <c r="AY848" s="13"/>
      <c r="BB848" s="114"/>
    </row>
    <row r="849" spans="1:54" x14ac:dyDescent="0.4"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22"/>
      <c r="AH849" s="122"/>
      <c r="AI849" s="122"/>
      <c r="AJ849" s="115"/>
      <c r="AK849" s="115"/>
      <c r="AL849" s="115"/>
      <c r="AM849" s="115"/>
      <c r="AN849" s="115"/>
      <c r="AO849" s="115"/>
      <c r="AP849" s="115"/>
      <c r="AQ849" s="115"/>
      <c r="AR849" s="115"/>
      <c r="AS849" s="115"/>
      <c r="AT849" s="115"/>
      <c r="AU849" s="115"/>
      <c r="AV849" s="115"/>
      <c r="AW849" s="115"/>
      <c r="AX849" s="26"/>
      <c r="AY849" s="13"/>
      <c r="BB849" s="114"/>
    </row>
    <row r="850" spans="1:54" x14ac:dyDescent="0.4"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22"/>
      <c r="AH850" s="122"/>
      <c r="AI850" s="122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115"/>
      <c r="AT850" s="115"/>
      <c r="AU850" s="115"/>
      <c r="AV850" s="115"/>
      <c r="AW850" s="115"/>
      <c r="AX850" s="26"/>
      <c r="AY850" s="15"/>
      <c r="BB850" s="114"/>
    </row>
    <row r="851" spans="1:54" x14ac:dyDescent="0.4"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22"/>
      <c r="AH851" s="122"/>
      <c r="AI851" s="122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115"/>
      <c r="AT851" s="115"/>
      <c r="AU851" s="115"/>
      <c r="AV851" s="115"/>
      <c r="AW851" s="115"/>
      <c r="AX851" s="17"/>
      <c r="AY851" s="15"/>
      <c r="BB851" s="114"/>
    </row>
    <row r="852" spans="1:54" x14ac:dyDescent="0.4"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22"/>
      <c r="AH852" s="122"/>
      <c r="AI852" s="122"/>
      <c r="AJ852" s="115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15"/>
      <c r="AU852" s="115"/>
      <c r="AV852" s="115"/>
      <c r="AW852" s="115"/>
      <c r="AX852" s="26"/>
      <c r="AY852" s="15"/>
      <c r="BB852" s="114"/>
    </row>
    <row r="853" spans="1:54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22"/>
      <c r="AH853" s="122"/>
      <c r="AI853" s="122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115"/>
      <c r="AU853" s="115"/>
      <c r="AV853" s="115"/>
      <c r="AW853" s="115"/>
      <c r="AX853" s="26"/>
      <c r="AY853" s="15"/>
      <c r="BB853" s="114"/>
    </row>
    <row r="854" spans="1:54" x14ac:dyDescent="0.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22"/>
      <c r="AH854" s="122"/>
      <c r="AI854" s="122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15"/>
      <c r="AU854" s="115"/>
      <c r="AV854" s="115"/>
      <c r="AW854" s="115"/>
      <c r="AX854" s="17"/>
      <c r="AY854" s="13"/>
      <c r="BB854" s="114"/>
    </row>
    <row r="855" spans="1:54" x14ac:dyDescent="0.4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22"/>
      <c r="AH855" s="122"/>
      <c r="AI855" s="122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15"/>
      <c r="AU855" s="115"/>
      <c r="AV855" s="115"/>
      <c r="AW855" s="115"/>
      <c r="AX855" s="17"/>
      <c r="AY855" s="13"/>
      <c r="BB855" s="114"/>
    </row>
    <row r="856" spans="1:54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22"/>
      <c r="AH856" s="122"/>
      <c r="AI856" s="122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15"/>
      <c r="AU856" s="115"/>
      <c r="AV856" s="115"/>
      <c r="AW856" s="115"/>
      <c r="AX856" s="26"/>
      <c r="AY856" s="13"/>
      <c r="BB856" s="114"/>
    </row>
    <row r="857" spans="1:54" x14ac:dyDescent="0.4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22"/>
      <c r="AH857" s="122"/>
      <c r="AI857" s="122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15"/>
      <c r="AU857" s="115"/>
      <c r="AV857" s="115"/>
      <c r="AW857" s="115"/>
      <c r="AX857" s="26"/>
      <c r="AY857" s="13"/>
      <c r="BB857" s="114"/>
    </row>
    <row r="858" spans="1:54" x14ac:dyDescent="0.4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22"/>
      <c r="AH858" s="122"/>
      <c r="AI858" s="122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115"/>
      <c r="AT858" s="115"/>
      <c r="AU858" s="115"/>
      <c r="AV858" s="115"/>
      <c r="AW858" s="115"/>
      <c r="AX858" s="17"/>
      <c r="AY858" s="13"/>
      <c r="BB858" s="114"/>
    </row>
    <row r="859" spans="1:54" x14ac:dyDescent="0.4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22"/>
      <c r="AH859" s="122"/>
      <c r="AI859" s="122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15"/>
      <c r="AU859" s="115"/>
      <c r="AV859" s="115"/>
      <c r="AW859" s="115"/>
      <c r="AX859" s="26"/>
      <c r="AY859" s="15"/>
      <c r="BB859" s="114"/>
    </row>
    <row r="860" spans="1:54" x14ac:dyDescent="0.4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22"/>
      <c r="AH860" s="122"/>
      <c r="AI860" s="122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115"/>
      <c r="AT860" s="115"/>
      <c r="AU860" s="115"/>
      <c r="AV860" s="115"/>
      <c r="AW860" s="115"/>
      <c r="AX860" s="26"/>
      <c r="AY860" s="15"/>
      <c r="BB860" s="114"/>
    </row>
    <row r="861" spans="1:54" x14ac:dyDescent="0.4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22"/>
      <c r="AH861" s="122"/>
      <c r="AI861" s="122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15"/>
      <c r="AU861" s="115"/>
      <c r="AV861" s="115"/>
      <c r="AW861" s="115"/>
      <c r="AX861" s="26"/>
      <c r="AY861" s="15"/>
      <c r="BB861" s="114"/>
    </row>
    <row r="862" spans="1:54" x14ac:dyDescent="0.4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22"/>
      <c r="AH862" s="122"/>
      <c r="AI862" s="122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15"/>
      <c r="AU862" s="115"/>
      <c r="AV862" s="115"/>
      <c r="AW862" s="115"/>
      <c r="AX862" s="26"/>
      <c r="AY862" s="13"/>
      <c r="BB862" s="114"/>
    </row>
    <row r="863" spans="1:54" x14ac:dyDescent="0.4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22"/>
      <c r="AH863" s="122"/>
      <c r="AI863" s="122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15"/>
      <c r="AU863" s="115"/>
      <c r="AV863" s="115"/>
      <c r="AW863" s="115"/>
      <c r="AX863" s="26"/>
      <c r="AY863" s="25"/>
      <c r="BB863" s="114"/>
    </row>
    <row r="864" spans="1:54" x14ac:dyDescent="0.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22"/>
      <c r="AH864" s="122"/>
      <c r="AI864" s="122"/>
      <c r="AJ864" s="115"/>
      <c r="AK864" s="115"/>
      <c r="AL864" s="115"/>
      <c r="AM864" s="115"/>
      <c r="AN864" s="115"/>
      <c r="AO864" s="115"/>
      <c r="AP864" s="115"/>
      <c r="AQ864" s="115"/>
      <c r="AR864" s="115"/>
      <c r="AS864" s="115"/>
      <c r="AT864" s="115"/>
      <c r="AU864" s="115"/>
      <c r="AV864" s="115"/>
      <c r="AW864" s="115"/>
      <c r="AX864" s="26"/>
      <c r="AY864" s="13"/>
      <c r="BB864" s="114"/>
    </row>
    <row r="865" spans="1:54" x14ac:dyDescent="0.4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22"/>
      <c r="AH865" s="122"/>
      <c r="AI865" s="122"/>
      <c r="AJ865" s="115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15"/>
      <c r="AU865" s="115"/>
      <c r="AV865" s="115"/>
      <c r="AW865" s="115"/>
      <c r="AX865" s="26"/>
      <c r="AY865" s="13"/>
      <c r="BB865" s="114"/>
    </row>
    <row r="866" spans="1:54" x14ac:dyDescent="0.4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22"/>
      <c r="AH866" s="122"/>
      <c r="AI866" s="122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15"/>
      <c r="AU866" s="115"/>
      <c r="AV866" s="115"/>
      <c r="AW866" s="115"/>
      <c r="AX866" s="26"/>
      <c r="AY866" s="13"/>
      <c r="BB866" s="114"/>
    </row>
    <row r="867" spans="1:54" x14ac:dyDescent="0.4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22"/>
      <c r="AH867" s="122"/>
      <c r="AI867" s="122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115"/>
      <c r="AU867" s="115"/>
      <c r="AV867" s="115"/>
      <c r="AW867" s="115"/>
      <c r="AX867" s="26"/>
      <c r="AY867" s="13"/>
      <c r="BB867" s="114"/>
    </row>
    <row r="868" spans="1:54" x14ac:dyDescent="0.4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22"/>
      <c r="AH868" s="122"/>
      <c r="AI868" s="122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15"/>
      <c r="AU868" s="115"/>
      <c r="AV868" s="115"/>
      <c r="AW868" s="115"/>
      <c r="AX868" s="26"/>
      <c r="AY868" s="13"/>
      <c r="BB868" s="114"/>
    </row>
    <row r="869" spans="1:54" x14ac:dyDescent="0.4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22"/>
      <c r="AH869" s="122"/>
      <c r="AI869" s="122"/>
      <c r="AJ869" s="115"/>
      <c r="AK869" s="115"/>
      <c r="AL869" s="115"/>
      <c r="AM869" s="115"/>
      <c r="AN869" s="115"/>
      <c r="AO869" s="115"/>
      <c r="AP869" s="115"/>
      <c r="AQ869" s="115"/>
      <c r="AR869" s="115"/>
      <c r="AS869" s="115"/>
      <c r="AT869" s="115"/>
      <c r="AU869" s="115"/>
      <c r="AV869" s="115"/>
      <c r="AW869" s="115"/>
      <c r="AX869" s="26"/>
      <c r="AY869" s="13"/>
      <c r="BB869" s="114"/>
    </row>
    <row r="870" spans="1:54" x14ac:dyDescent="0.4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22"/>
      <c r="AH870" s="122"/>
      <c r="AI870" s="122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115"/>
      <c r="AT870" s="115"/>
      <c r="AU870" s="115"/>
      <c r="AV870" s="115"/>
      <c r="AW870" s="115"/>
      <c r="AX870" s="26"/>
      <c r="AY870" s="13"/>
      <c r="BB870" s="114"/>
    </row>
    <row r="871" spans="1:54" x14ac:dyDescent="0.4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22"/>
      <c r="AH871" s="122"/>
      <c r="AI871" s="122"/>
      <c r="AJ871" s="115"/>
      <c r="AK871" s="115"/>
      <c r="AL871" s="115"/>
      <c r="AM871" s="115"/>
      <c r="AN871" s="115"/>
      <c r="AO871" s="115"/>
      <c r="AP871" s="115"/>
      <c r="AQ871" s="115"/>
      <c r="AR871" s="115"/>
      <c r="AS871" s="115"/>
      <c r="AT871" s="115"/>
      <c r="AU871" s="115"/>
      <c r="AV871" s="115"/>
      <c r="AW871" s="115"/>
      <c r="AX871" s="26"/>
      <c r="AY871" s="13"/>
      <c r="BB871" s="114"/>
    </row>
    <row r="872" spans="1:54" x14ac:dyDescent="0.4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22"/>
      <c r="AH872" s="122"/>
      <c r="AI872" s="122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15"/>
      <c r="AU872" s="115"/>
      <c r="AV872" s="115"/>
      <c r="AW872" s="115"/>
      <c r="AX872" s="26"/>
      <c r="AY872" s="13"/>
      <c r="BB872" s="114"/>
    </row>
    <row r="873" spans="1:54" x14ac:dyDescent="0.4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22"/>
      <c r="AH873" s="122"/>
      <c r="AI873" s="122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115"/>
      <c r="AU873" s="115"/>
      <c r="AV873" s="115"/>
      <c r="AW873" s="115"/>
      <c r="AX873" s="26"/>
      <c r="AY873" s="13"/>
      <c r="BB873" s="114"/>
    </row>
    <row r="874" spans="1:54" x14ac:dyDescent="0.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22"/>
      <c r="AH874" s="122"/>
      <c r="AI874" s="122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15"/>
      <c r="AU874" s="115"/>
      <c r="AV874" s="115"/>
      <c r="AW874" s="115"/>
      <c r="AX874" s="26"/>
      <c r="AY874" s="15"/>
      <c r="BB874" s="114"/>
    </row>
    <row r="875" spans="1:54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22"/>
      <c r="AH875" s="122"/>
      <c r="AI875" s="122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115"/>
      <c r="AU875" s="115"/>
      <c r="AV875" s="115"/>
      <c r="AW875" s="115"/>
      <c r="AX875" s="26"/>
      <c r="AY875" s="15"/>
      <c r="BB875" s="114"/>
    </row>
    <row r="876" spans="1:54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22"/>
      <c r="AH876" s="122"/>
      <c r="AI876" s="122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15"/>
      <c r="AU876" s="115"/>
      <c r="AV876" s="115"/>
      <c r="AW876" s="115"/>
      <c r="AX876" s="26"/>
      <c r="AY876" s="15"/>
      <c r="BB876" s="114"/>
    </row>
    <row r="877" spans="1:54" x14ac:dyDescent="0.4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22"/>
      <c r="AH877" s="122"/>
      <c r="AI877" s="122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15"/>
      <c r="AU877" s="115"/>
      <c r="AV877" s="115"/>
      <c r="AW877" s="115"/>
      <c r="AX877" s="26"/>
      <c r="AY877" s="15"/>
      <c r="BB877" s="114"/>
    </row>
    <row r="878" spans="1:54" x14ac:dyDescent="0.4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22"/>
      <c r="AH878" s="122"/>
      <c r="AI878" s="122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15"/>
      <c r="AU878" s="115"/>
      <c r="AV878" s="115"/>
      <c r="AW878" s="115"/>
      <c r="AX878" s="26"/>
      <c r="AY878" s="13"/>
      <c r="BB878" s="114"/>
    </row>
    <row r="879" spans="1:54" x14ac:dyDescent="0.4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22"/>
      <c r="AH879" s="122"/>
      <c r="AI879" s="122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115"/>
      <c r="AU879" s="115"/>
      <c r="AV879" s="115"/>
      <c r="AW879" s="115"/>
      <c r="AX879" s="26"/>
      <c r="AY879" s="15"/>
      <c r="BB879" s="114"/>
    </row>
    <row r="880" spans="1:54" x14ac:dyDescent="0.4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22"/>
      <c r="AH880" s="122"/>
      <c r="AI880" s="122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15"/>
      <c r="AU880" s="115"/>
      <c r="AV880" s="115"/>
      <c r="AW880" s="115"/>
      <c r="AX880" s="26"/>
      <c r="AY880" s="15"/>
      <c r="BB880" s="114"/>
    </row>
    <row r="881" spans="1:54" x14ac:dyDescent="0.4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22"/>
      <c r="AH881" s="122"/>
      <c r="AI881" s="122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115"/>
      <c r="AU881" s="115"/>
      <c r="AV881" s="115"/>
      <c r="AW881" s="115"/>
      <c r="AX881" s="26"/>
      <c r="AY881" s="15"/>
      <c r="BB881" s="114"/>
    </row>
    <row r="882" spans="1:54" x14ac:dyDescent="0.4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22"/>
      <c r="AH882" s="122"/>
      <c r="AI882" s="122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15"/>
      <c r="AU882" s="115"/>
      <c r="AV882" s="115"/>
      <c r="AW882" s="115"/>
      <c r="AX882" s="26"/>
      <c r="AY882" s="15"/>
      <c r="BB882" s="114"/>
    </row>
    <row r="883" spans="1:54" x14ac:dyDescent="0.4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22"/>
      <c r="AH883" s="122"/>
      <c r="AI883" s="122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115"/>
      <c r="AU883" s="115"/>
      <c r="AV883" s="115"/>
      <c r="AW883" s="115"/>
      <c r="AX883" s="26"/>
      <c r="AY883" s="15"/>
      <c r="BB883" s="114"/>
    </row>
    <row r="884" spans="1:54" x14ac:dyDescent="0.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22"/>
      <c r="AH884" s="122"/>
      <c r="AI884" s="122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115"/>
      <c r="AU884" s="115"/>
      <c r="AV884" s="115"/>
      <c r="AW884" s="115"/>
      <c r="AX884" s="26"/>
      <c r="AY884" s="105"/>
      <c r="BB884" s="114"/>
    </row>
    <row r="885" spans="1:54" x14ac:dyDescent="0.4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22"/>
      <c r="AH885" s="122"/>
      <c r="AI885" s="122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115"/>
      <c r="AT885" s="115"/>
      <c r="AU885" s="115"/>
      <c r="AV885" s="115"/>
      <c r="AW885" s="115"/>
      <c r="AX885" s="17"/>
      <c r="AY885" s="15"/>
      <c r="BB885" s="114"/>
    </row>
    <row r="886" spans="1:54" x14ac:dyDescent="0.4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22"/>
      <c r="AH886" s="122"/>
      <c r="AI886" s="122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15"/>
      <c r="AU886" s="115"/>
      <c r="AV886" s="115"/>
      <c r="AW886" s="115"/>
      <c r="AX886" s="26"/>
      <c r="AY886" s="15"/>
      <c r="BB886" s="114"/>
    </row>
    <row r="887" spans="1:54" x14ac:dyDescent="0.4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22"/>
      <c r="AH887" s="122"/>
      <c r="AI887" s="122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115"/>
      <c r="AT887" s="115"/>
      <c r="AU887" s="115"/>
      <c r="AV887" s="115"/>
      <c r="AW887" s="115"/>
      <c r="AX887" s="26"/>
      <c r="AY887" s="15"/>
      <c r="BB887" s="114"/>
    </row>
    <row r="888" spans="1:54" x14ac:dyDescent="0.4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22"/>
      <c r="AH888" s="122"/>
      <c r="AI888" s="122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15"/>
      <c r="AU888" s="115"/>
      <c r="AV888" s="115"/>
      <c r="AW888" s="115"/>
      <c r="AX888" s="26"/>
      <c r="AY888" s="105"/>
      <c r="BB888" s="114"/>
    </row>
    <row r="889" spans="1:54" x14ac:dyDescent="0.4">
      <c r="AX889" s="26"/>
      <c r="AY889" s="15"/>
      <c r="BB889" s="114"/>
    </row>
    <row r="890" spans="1:54" x14ac:dyDescent="0.4">
      <c r="AH890" s="122"/>
      <c r="AI890" s="122"/>
      <c r="AJ890" s="115"/>
      <c r="AK890" s="115"/>
      <c r="AL890" s="115"/>
      <c r="AM890" s="115"/>
      <c r="AN890" s="115"/>
      <c r="AO890" s="115"/>
      <c r="AP890" s="115"/>
      <c r="AQ890" s="115"/>
      <c r="AR890" s="115"/>
      <c r="AS890" s="115"/>
      <c r="AT890" s="115"/>
      <c r="AU890" s="115"/>
      <c r="AV890" s="115"/>
      <c r="AW890" s="115"/>
      <c r="AX890" s="26"/>
      <c r="AY890" s="15"/>
      <c r="BB890" s="114"/>
    </row>
    <row r="891" spans="1:54" x14ac:dyDescent="0.4">
      <c r="AD891" s="115"/>
      <c r="AE891" s="115"/>
      <c r="AF891" s="115"/>
      <c r="AG891" s="122"/>
      <c r="AH891" s="122"/>
      <c r="AI891" s="122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15"/>
      <c r="AU891" s="115"/>
      <c r="AV891" s="115"/>
      <c r="AW891" s="115"/>
      <c r="AX891" s="26"/>
      <c r="AY891" s="15"/>
      <c r="BB891" s="114"/>
    </row>
    <row r="892" spans="1:54" x14ac:dyDescent="0.4"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22"/>
      <c r="AH892" s="122"/>
      <c r="AI892" s="122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15"/>
      <c r="AU892" s="115"/>
      <c r="AV892" s="115"/>
      <c r="AW892" s="115"/>
      <c r="AX892" s="26"/>
      <c r="AY892" s="15"/>
      <c r="BB892" s="114"/>
    </row>
    <row r="893" spans="1:54" x14ac:dyDescent="0.4"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22"/>
      <c r="AH893" s="122"/>
      <c r="AI893" s="122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15"/>
      <c r="AU893" s="115"/>
      <c r="AV893" s="115"/>
      <c r="AW893" s="115"/>
      <c r="AX893" s="17"/>
      <c r="AY893" s="15"/>
      <c r="BB893" s="114"/>
    </row>
    <row r="894" spans="1:54" x14ac:dyDescent="0.4"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22"/>
      <c r="AH894" s="122"/>
      <c r="AI894" s="122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115"/>
      <c r="AU894" s="115"/>
      <c r="AV894" s="115"/>
      <c r="AW894" s="115"/>
      <c r="AX894" s="26"/>
      <c r="AY894" s="15"/>
      <c r="BB894" s="114"/>
    </row>
    <row r="895" spans="1:54" x14ac:dyDescent="0.4"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22"/>
      <c r="AH895" s="122"/>
      <c r="AI895" s="122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115"/>
      <c r="AT895" s="115"/>
      <c r="AU895" s="115"/>
      <c r="AV895" s="115"/>
      <c r="AW895" s="115"/>
      <c r="AX895" s="26"/>
      <c r="AY895" s="15"/>
      <c r="BB895" s="114"/>
    </row>
    <row r="896" spans="1:54" x14ac:dyDescent="0.4"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22"/>
      <c r="AH896" s="122"/>
      <c r="AI896" s="122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15"/>
      <c r="AU896" s="115"/>
      <c r="AV896" s="115"/>
      <c r="AW896" s="115"/>
      <c r="AX896" s="26"/>
      <c r="AY896" s="15"/>
      <c r="BB896" s="114"/>
    </row>
    <row r="897" spans="2:54" x14ac:dyDescent="0.4"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22"/>
      <c r="AH897" s="122"/>
      <c r="AI897" s="122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115"/>
      <c r="AT897" s="115"/>
      <c r="AU897" s="115"/>
      <c r="AV897" s="115"/>
      <c r="AW897" s="115"/>
      <c r="AX897" s="26"/>
      <c r="AY897" s="15"/>
      <c r="BB897" s="114"/>
    </row>
    <row r="898" spans="2:54" x14ac:dyDescent="0.4"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22"/>
      <c r="AH898" s="122"/>
      <c r="AI898" s="122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115"/>
      <c r="AT898" s="115"/>
      <c r="AU898" s="115"/>
      <c r="AV898" s="115"/>
      <c r="AW898" s="115"/>
      <c r="AX898" s="26"/>
      <c r="AY898" s="15"/>
      <c r="BB898" s="114"/>
    </row>
    <row r="899" spans="2:54" x14ac:dyDescent="0.4"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22"/>
      <c r="AH899" s="122"/>
      <c r="AI899" s="122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15"/>
      <c r="AU899" s="115"/>
      <c r="AV899" s="115"/>
      <c r="AW899" s="115"/>
      <c r="AX899" s="26"/>
      <c r="AY899" s="15"/>
      <c r="BB899" s="114"/>
    </row>
    <row r="900" spans="2:54" x14ac:dyDescent="0.4"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22"/>
      <c r="AH900" s="122"/>
      <c r="AI900" s="122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15"/>
      <c r="AU900" s="115"/>
      <c r="AV900" s="115"/>
      <c r="AW900" s="115"/>
      <c r="AX900" s="26"/>
      <c r="AY900" s="15"/>
      <c r="BB900" s="114"/>
    </row>
    <row r="901" spans="2:54" x14ac:dyDescent="0.4"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22"/>
      <c r="AH901" s="122"/>
      <c r="AI901" s="122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15"/>
      <c r="AU901" s="115"/>
      <c r="AV901" s="115"/>
      <c r="AW901" s="115"/>
      <c r="AX901" s="17"/>
      <c r="AY901" s="15"/>
      <c r="BB901" s="114"/>
    </row>
    <row r="902" spans="2:54" x14ac:dyDescent="0.4"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22"/>
      <c r="AH902" s="122"/>
      <c r="AI902" s="122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115"/>
      <c r="AU902" s="115"/>
      <c r="AV902" s="115"/>
      <c r="AW902" s="115"/>
      <c r="AX902" s="26"/>
      <c r="AY902" s="15"/>
      <c r="BB902" s="114"/>
    </row>
    <row r="903" spans="2:54" x14ac:dyDescent="0.4"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22"/>
      <c r="AH903" s="122"/>
      <c r="AI903" s="122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115"/>
      <c r="AT903" s="115"/>
      <c r="AU903" s="115"/>
      <c r="AV903" s="115"/>
      <c r="AW903" s="115"/>
      <c r="AX903" s="26"/>
      <c r="AY903" s="15"/>
      <c r="BB903" s="114"/>
    </row>
    <row r="904" spans="2:54" x14ac:dyDescent="0.4"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22"/>
      <c r="AH904" s="122"/>
      <c r="AI904" s="122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15"/>
      <c r="AU904" s="115"/>
      <c r="AV904" s="115"/>
      <c r="AW904" s="115"/>
      <c r="AX904" s="26"/>
      <c r="AY904" s="15"/>
      <c r="BB904" s="114"/>
    </row>
    <row r="905" spans="2:54" x14ac:dyDescent="0.4"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22"/>
      <c r="AH905" s="122"/>
      <c r="AI905" s="122"/>
      <c r="AJ905" s="115"/>
      <c r="AK905" s="115"/>
      <c r="AL905" s="115"/>
      <c r="AM905" s="115"/>
      <c r="AN905" s="115"/>
      <c r="AO905" s="115"/>
      <c r="AP905" s="115"/>
      <c r="AQ905" s="115"/>
      <c r="AR905" s="115"/>
      <c r="AS905" s="115"/>
      <c r="AT905" s="115"/>
      <c r="AU905" s="115"/>
      <c r="AV905" s="115"/>
      <c r="AW905" s="115"/>
      <c r="AX905" s="26"/>
      <c r="AY905" s="15"/>
      <c r="BB905" s="114"/>
    </row>
    <row r="906" spans="2:54" x14ac:dyDescent="0.4"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22"/>
      <c r="AH906" s="122"/>
      <c r="AI906" s="122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15"/>
      <c r="AU906" s="115"/>
      <c r="AV906" s="115"/>
      <c r="AW906" s="115"/>
      <c r="AX906" s="26"/>
      <c r="AY906" s="15"/>
      <c r="BB906" s="114"/>
    </row>
    <row r="907" spans="2:54" x14ac:dyDescent="0.4"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22"/>
      <c r="AH907" s="122"/>
      <c r="AI907" s="122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15"/>
      <c r="AU907" s="115"/>
      <c r="AV907" s="115"/>
      <c r="AW907" s="115"/>
      <c r="AX907" s="26"/>
      <c r="AY907" s="15"/>
      <c r="BB907" s="114"/>
    </row>
    <row r="908" spans="2:54" x14ac:dyDescent="0.4"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22"/>
      <c r="AH908" s="122"/>
      <c r="AI908" s="122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15"/>
      <c r="AU908" s="115"/>
      <c r="AV908" s="115"/>
      <c r="AW908" s="115"/>
      <c r="AX908" s="26"/>
      <c r="AY908" s="15"/>
      <c r="BB908" s="114"/>
    </row>
    <row r="909" spans="2:54" x14ac:dyDescent="0.4"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22"/>
      <c r="AH909" s="122"/>
      <c r="AI909" s="122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15"/>
      <c r="AU909" s="115"/>
      <c r="AV909" s="115"/>
      <c r="AW909" s="115"/>
      <c r="AX909" s="17"/>
      <c r="AY909" s="15"/>
      <c r="BB909" s="114"/>
    </row>
    <row r="910" spans="2:54" x14ac:dyDescent="0.4"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22"/>
      <c r="AH910" s="122"/>
      <c r="AI910" s="122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115"/>
      <c r="AT910" s="115"/>
      <c r="AU910" s="115"/>
      <c r="AV910" s="115"/>
      <c r="AW910" s="115"/>
      <c r="AX910" s="26"/>
      <c r="AY910" s="15"/>
      <c r="BB910" s="114"/>
    </row>
    <row r="911" spans="2:54" x14ac:dyDescent="0.4"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22"/>
      <c r="AH911" s="122"/>
      <c r="AI911" s="122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15"/>
      <c r="AU911" s="115"/>
      <c r="AV911" s="115"/>
      <c r="AW911" s="115"/>
      <c r="AX911" s="26"/>
      <c r="AY911" s="15"/>
      <c r="BB911" s="114"/>
    </row>
    <row r="912" spans="2:54" x14ac:dyDescent="0.4"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22"/>
      <c r="AH912" s="122"/>
      <c r="AI912" s="122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115"/>
      <c r="AU912" s="115"/>
      <c r="AV912" s="115"/>
      <c r="AW912" s="115"/>
      <c r="AX912" s="26"/>
      <c r="AY912" s="15"/>
      <c r="BB912" s="114"/>
    </row>
    <row r="913" spans="1:54" x14ac:dyDescent="0.4"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22"/>
      <c r="AH913" s="122"/>
      <c r="AI913" s="122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15"/>
      <c r="AU913" s="115"/>
      <c r="AV913" s="115"/>
      <c r="AW913" s="115"/>
      <c r="AX913" s="26"/>
      <c r="AY913" s="15"/>
      <c r="BB913" s="114"/>
    </row>
    <row r="914" spans="1:54" x14ac:dyDescent="0.4"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22"/>
      <c r="AH914" s="122"/>
      <c r="AI914" s="122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15"/>
      <c r="AU914" s="115"/>
      <c r="AV914" s="115"/>
      <c r="AW914" s="115"/>
      <c r="AX914" s="26"/>
      <c r="AY914" s="15"/>
      <c r="BB914" s="114"/>
    </row>
    <row r="915" spans="1:54" x14ac:dyDescent="0.4"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22"/>
      <c r="AH915" s="122"/>
      <c r="AI915" s="122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15"/>
      <c r="AU915" s="115"/>
      <c r="AV915" s="115"/>
      <c r="AW915" s="115"/>
      <c r="AX915" s="26"/>
      <c r="AY915" s="15"/>
      <c r="BB915" s="114"/>
    </row>
    <row r="916" spans="1:54" x14ac:dyDescent="0.4"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22"/>
      <c r="AH916" s="122"/>
      <c r="AI916" s="122"/>
      <c r="AJ916" s="115"/>
      <c r="AK916" s="115"/>
      <c r="AL916" s="115"/>
      <c r="AM916" s="115"/>
      <c r="AN916" s="115"/>
      <c r="AO916" s="115"/>
      <c r="AP916" s="115"/>
      <c r="AQ916" s="115"/>
      <c r="AR916" s="115"/>
      <c r="AS916" s="115"/>
      <c r="AT916" s="115"/>
      <c r="AU916" s="115"/>
      <c r="AV916" s="115"/>
      <c r="AW916" s="115"/>
      <c r="AX916" s="26"/>
      <c r="AY916" s="15"/>
      <c r="BB916" s="114"/>
    </row>
    <row r="917" spans="1:54" x14ac:dyDescent="0.4"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22"/>
      <c r="AH917" s="122"/>
      <c r="AI917" s="122"/>
      <c r="AJ917" s="115"/>
      <c r="AK917" s="115"/>
      <c r="AL917" s="115"/>
      <c r="AM917" s="115"/>
      <c r="AN917" s="115"/>
      <c r="AO917" s="115"/>
      <c r="AP917" s="115"/>
      <c r="AQ917" s="115"/>
      <c r="AR917" s="115"/>
      <c r="AS917" s="115"/>
      <c r="AT917" s="115"/>
      <c r="AU917" s="115"/>
      <c r="AV917" s="115"/>
      <c r="AW917" s="115"/>
      <c r="AX917" s="26"/>
      <c r="AY917" s="15"/>
      <c r="BB917" s="114"/>
    </row>
    <row r="918" spans="1:54" x14ac:dyDescent="0.4"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22"/>
      <c r="AH918" s="122"/>
      <c r="AI918" s="122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15"/>
      <c r="AU918" s="115"/>
      <c r="AV918" s="115"/>
      <c r="AW918" s="115"/>
      <c r="AX918" s="17"/>
      <c r="AY918" s="15"/>
      <c r="BB918" s="114"/>
    </row>
    <row r="919" spans="1:54" x14ac:dyDescent="0.4"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22"/>
      <c r="AH919" s="122"/>
      <c r="AI919" s="122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15"/>
      <c r="AU919" s="115"/>
      <c r="AV919" s="115"/>
      <c r="AW919" s="115"/>
      <c r="AX919" s="26"/>
      <c r="AY919" s="15"/>
      <c r="BB919" s="114"/>
    </row>
    <row r="920" spans="1:54" x14ac:dyDescent="0.4"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22"/>
      <c r="AH920" s="122"/>
      <c r="AI920" s="122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15"/>
      <c r="AU920" s="115"/>
      <c r="AV920" s="115"/>
      <c r="AW920" s="115"/>
      <c r="AX920" s="17"/>
      <c r="AY920" s="15"/>
      <c r="BB920" s="114"/>
    </row>
    <row r="921" spans="1:54" x14ac:dyDescent="0.4"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22"/>
      <c r="AH921" s="122"/>
      <c r="AI921" s="122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15"/>
      <c r="AU921" s="115"/>
      <c r="AV921" s="115"/>
      <c r="AW921" s="115"/>
      <c r="AX921" s="26"/>
      <c r="AY921" s="15"/>
      <c r="BB921" s="114"/>
    </row>
    <row r="922" spans="1:54" x14ac:dyDescent="0.4"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22"/>
      <c r="AH922" s="122"/>
      <c r="AI922" s="122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115"/>
      <c r="AT922" s="115"/>
      <c r="AU922" s="115"/>
      <c r="AV922" s="115"/>
      <c r="AW922" s="115"/>
      <c r="AX922" s="17"/>
      <c r="AY922" s="15"/>
      <c r="BB922" s="114"/>
    </row>
    <row r="923" spans="1:54" x14ac:dyDescent="0.4"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22"/>
      <c r="AH923" s="122"/>
      <c r="AI923" s="122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15"/>
      <c r="AU923" s="115"/>
      <c r="AV923" s="115"/>
      <c r="AW923" s="115"/>
      <c r="AX923" s="26"/>
      <c r="AY923" s="15"/>
      <c r="BB923" s="114"/>
    </row>
    <row r="924" spans="1:54" x14ac:dyDescent="0.4"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22"/>
      <c r="AH924" s="122"/>
      <c r="AI924" s="122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115"/>
      <c r="AU924" s="115"/>
      <c r="AV924" s="115"/>
      <c r="AW924" s="115"/>
      <c r="AX924" s="26"/>
      <c r="AY924" s="15"/>
      <c r="BB924" s="114"/>
    </row>
    <row r="925" spans="1:54" x14ac:dyDescent="0.4"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22"/>
      <c r="AH925" s="122"/>
      <c r="AI925" s="122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115"/>
      <c r="AT925" s="115"/>
      <c r="AU925" s="115"/>
      <c r="AV925" s="115"/>
      <c r="AW925" s="115"/>
      <c r="AX925" s="17"/>
      <c r="AY925" s="15"/>
      <c r="BB925" s="114"/>
    </row>
    <row r="926" spans="1:54" x14ac:dyDescent="0.4"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22"/>
      <c r="AH926" s="122"/>
      <c r="AI926" s="122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15"/>
      <c r="AU926" s="115"/>
      <c r="AV926" s="115"/>
      <c r="AW926" s="115"/>
      <c r="AX926" s="26"/>
      <c r="AY926" s="15"/>
      <c r="BB926" s="114"/>
    </row>
    <row r="927" spans="1:54" x14ac:dyDescent="0.4"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22"/>
      <c r="AH927" s="122"/>
      <c r="AI927" s="122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115"/>
      <c r="AU927" s="115"/>
      <c r="AV927" s="115"/>
      <c r="AW927" s="115"/>
      <c r="AX927" s="26"/>
      <c r="AY927" s="15"/>
      <c r="BB927" s="114"/>
    </row>
    <row r="928" spans="1:54" x14ac:dyDescent="0.4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22"/>
      <c r="AH928" s="122"/>
      <c r="AI928" s="122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15"/>
      <c r="AU928" s="115"/>
      <c r="AV928" s="115"/>
      <c r="AW928" s="115"/>
      <c r="AX928" s="26"/>
      <c r="AY928" s="105"/>
      <c r="BB928" s="114"/>
    </row>
    <row r="929" spans="1:54" x14ac:dyDescent="0.4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22"/>
      <c r="AH929" s="122"/>
      <c r="AI929" s="122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15"/>
      <c r="AU929" s="115"/>
      <c r="AV929" s="115"/>
      <c r="AW929" s="115"/>
      <c r="AX929" s="17"/>
      <c r="AY929" s="15"/>
      <c r="BB929" s="114"/>
    </row>
    <row r="930" spans="1:54" x14ac:dyDescent="0.4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22"/>
      <c r="AH930" s="122"/>
      <c r="AI930" s="122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15"/>
      <c r="AU930" s="115"/>
      <c r="AV930" s="115"/>
      <c r="AW930" s="115"/>
      <c r="AX930" s="17"/>
      <c r="AY930" s="15"/>
      <c r="BB930" s="114"/>
    </row>
    <row r="931" spans="1:54" x14ac:dyDescent="0.4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22"/>
      <c r="AH931" s="122"/>
      <c r="AI931" s="122"/>
      <c r="AJ931" s="115"/>
      <c r="AK931" s="115"/>
      <c r="AL931" s="115"/>
      <c r="AM931" s="115"/>
      <c r="AN931" s="115"/>
      <c r="AO931" s="115"/>
      <c r="AP931" s="115"/>
      <c r="AQ931" s="115"/>
      <c r="AR931" s="115"/>
      <c r="AS931" s="115"/>
      <c r="AT931" s="115"/>
      <c r="AU931" s="115"/>
      <c r="AV931" s="115"/>
      <c r="AW931" s="115"/>
      <c r="AX931" s="26"/>
      <c r="AY931" s="15"/>
      <c r="BB931" s="114"/>
    </row>
    <row r="932" spans="1:54" x14ac:dyDescent="0.4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22"/>
      <c r="AH932" s="122"/>
      <c r="AI932" s="122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15"/>
      <c r="AU932" s="115"/>
      <c r="AV932" s="115"/>
      <c r="AW932" s="115"/>
      <c r="AX932" s="26"/>
      <c r="AY932" s="15"/>
      <c r="BB932" s="114"/>
    </row>
    <row r="933" spans="1:54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22"/>
      <c r="AH933" s="122"/>
      <c r="AI933" s="122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15"/>
      <c r="AU933" s="115"/>
      <c r="AV933" s="115"/>
      <c r="AW933" s="115"/>
      <c r="AX933" s="26"/>
      <c r="AY933" s="15"/>
      <c r="BB933" s="114"/>
    </row>
    <row r="934" spans="1:54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22"/>
      <c r="AH934" s="122"/>
      <c r="AI934" s="122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15"/>
      <c r="AU934" s="115"/>
      <c r="AV934" s="115"/>
      <c r="AW934" s="115"/>
      <c r="AX934" s="26"/>
      <c r="AY934" s="15"/>
      <c r="BB934" s="114"/>
    </row>
    <row r="935" spans="1:54" x14ac:dyDescent="0.4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22"/>
      <c r="AH935" s="122"/>
      <c r="AI935" s="122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115"/>
      <c r="AU935" s="115"/>
      <c r="AV935" s="115"/>
      <c r="AW935" s="115"/>
      <c r="AX935" s="26"/>
      <c r="AY935" s="15"/>
      <c r="BB935" s="114"/>
    </row>
    <row r="936" spans="1:54" x14ac:dyDescent="0.4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22"/>
      <c r="AH936" s="122"/>
      <c r="AI936" s="122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15"/>
      <c r="AU936" s="115"/>
      <c r="AV936" s="115"/>
      <c r="AW936" s="115"/>
      <c r="AX936" s="26"/>
      <c r="AY936" s="15"/>
      <c r="BB936" s="114"/>
    </row>
    <row r="937" spans="1:54" x14ac:dyDescent="0.4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22"/>
      <c r="AH937" s="122"/>
      <c r="AI937" s="122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115"/>
      <c r="AU937" s="115"/>
      <c r="AV937" s="115"/>
      <c r="AW937" s="115"/>
      <c r="AX937" s="26"/>
      <c r="AY937" s="15"/>
      <c r="BB937" s="114"/>
    </row>
    <row r="938" spans="1:54" x14ac:dyDescent="0.4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22"/>
      <c r="AH938" s="122"/>
      <c r="AI938" s="122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15"/>
      <c r="AU938" s="115"/>
      <c r="AV938" s="115"/>
      <c r="AW938" s="115"/>
      <c r="AX938" s="26"/>
      <c r="AY938" s="15"/>
      <c r="BB938" s="114"/>
    </row>
    <row r="939" spans="1:54" x14ac:dyDescent="0.4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22"/>
      <c r="AH939" s="122"/>
      <c r="AI939" s="122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115"/>
      <c r="AU939" s="115"/>
      <c r="AV939" s="115"/>
      <c r="AW939" s="115"/>
      <c r="AX939" s="26"/>
      <c r="AY939" s="105"/>
      <c r="BB939" s="114"/>
    </row>
    <row r="940" spans="1:54" x14ac:dyDescent="0.4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22"/>
      <c r="AH940" s="122"/>
      <c r="AI940" s="122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15"/>
      <c r="AU940" s="115"/>
      <c r="AV940" s="115"/>
      <c r="AW940" s="115"/>
      <c r="AX940" s="26"/>
      <c r="AY940" s="15"/>
      <c r="BB940" s="114"/>
    </row>
    <row r="941" spans="1:54" x14ac:dyDescent="0.4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22"/>
      <c r="AH941" s="122"/>
      <c r="AI941" s="122"/>
      <c r="AJ941" s="115"/>
      <c r="AK941" s="115"/>
      <c r="AL941" s="115"/>
      <c r="AM941" s="115"/>
      <c r="AN941" s="115"/>
      <c r="AO941" s="115"/>
      <c r="AP941" s="115"/>
      <c r="AQ941" s="115"/>
      <c r="AR941" s="115"/>
      <c r="AS941" s="115"/>
      <c r="AT941" s="115"/>
      <c r="AU941" s="115"/>
      <c r="AV941" s="115"/>
      <c r="AW941" s="115"/>
      <c r="AX941" s="26"/>
      <c r="AY941" s="15"/>
      <c r="BB941" s="114"/>
    </row>
    <row r="942" spans="1:54" x14ac:dyDescent="0.4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22"/>
      <c r="AH942" s="122"/>
      <c r="AI942" s="122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115"/>
      <c r="AU942" s="115"/>
      <c r="AV942" s="115"/>
      <c r="AW942" s="115"/>
      <c r="AX942" s="26"/>
      <c r="AY942" s="13"/>
      <c r="BB942" s="114"/>
    </row>
    <row r="943" spans="1:54" x14ac:dyDescent="0.4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22"/>
      <c r="AH943" s="122"/>
      <c r="AI943" s="122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15"/>
      <c r="AU943" s="115"/>
      <c r="AV943" s="115"/>
      <c r="AW943" s="115"/>
      <c r="AX943" s="17"/>
      <c r="AY943" s="13"/>
      <c r="BB943" s="114"/>
    </row>
    <row r="944" spans="1:54" x14ac:dyDescent="0.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22"/>
      <c r="AH944" s="122"/>
      <c r="AI944" s="122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15"/>
      <c r="AU944" s="115"/>
      <c r="AV944" s="115"/>
      <c r="AW944" s="115"/>
      <c r="AX944" s="26"/>
      <c r="AY944" s="13"/>
      <c r="BB944" s="114"/>
    </row>
    <row r="945" spans="1:54" x14ac:dyDescent="0.4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22"/>
      <c r="AH945" s="122"/>
      <c r="AI945" s="122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115"/>
      <c r="AU945" s="115"/>
      <c r="AV945" s="115"/>
      <c r="AW945" s="115"/>
      <c r="AX945" s="26"/>
      <c r="AY945" s="13"/>
      <c r="BB945" s="114"/>
    </row>
    <row r="946" spans="1:54" x14ac:dyDescent="0.4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22"/>
      <c r="AH946" s="122"/>
      <c r="AI946" s="122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115"/>
      <c r="AU946" s="115"/>
      <c r="AV946" s="115"/>
      <c r="AW946" s="115"/>
      <c r="AX946" s="26"/>
      <c r="AY946" s="13"/>
      <c r="BB946" s="114"/>
    </row>
    <row r="947" spans="1:54" x14ac:dyDescent="0.4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22"/>
      <c r="AH947" s="122"/>
      <c r="AI947" s="122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15"/>
      <c r="AU947" s="115"/>
      <c r="AV947" s="115"/>
      <c r="AW947" s="115"/>
      <c r="AX947" s="26"/>
      <c r="AY947" s="13"/>
      <c r="BB947" s="114"/>
    </row>
    <row r="948" spans="1:54" x14ac:dyDescent="0.4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22"/>
      <c r="AH948" s="122"/>
      <c r="AI948" s="122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115"/>
      <c r="AU948" s="115"/>
      <c r="AV948" s="115"/>
      <c r="AW948" s="115"/>
      <c r="AX948" s="26"/>
      <c r="AY948" s="13"/>
      <c r="BB948" s="114"/>
    </row>
    <row r="949" spans="1:54" x14ac:dyDescent="0.4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22"/>
      <c r="AH949" s="122"/>
      <c r="AI949" s="122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15"/>
      <c r="AU949" s="115"/>
      <c r="AV949" s="115"/>
      <c r="AW949" s="115"/>
      <c r="AX949" s="26"/>
      <c r="AY949" s="13"/>
      <c r="BB949" s="114"/>
    </row>
    <row r="950" spans="1:54" x14ac:dyDescent="0.4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22"/>
      <c r="AH950" s="122"/>
      <c r="AI950" s="122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15"/>
      <c r="AU950" s="115"/>
      <c r="AV950" s="115"/>
      <c r="AW950" s="115"/>
      <c r="AX950" s="17"/>
      <c r="AY950" s="13"/>
      <c r="BB950" s="114"/>
    </row>
    <row r="951" spans="1:54" x14ac:dyDescent="0.4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22"/>
      <c r="AH951" s="122"/>
      <c r="AI951" s="122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15"/>
      <c r="AU951" s="115"/>
      <c r="AV951" s="115"/>
      <c r="AW951" s="115"/>
      <c r="AX951" s="26"/>
      <c r="AY951" s="13"/>
      <c r="BB951" s="114"/>
    </row>
    <row r="952" spans="1:54" x14ac:dyDescent="0.4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22"/>
      <c r="AH952" s="122"/>
      <c r="AI952" s="122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15"/>
      <c r="AU952" s="115"/>
      <c r="AV952" s="115"/>
      <c r="AW952" s="115"/>
      <c r="AX952" s="26"/>
      <c r="AY952" s="13"/>
      <c r="BB952" s="114"/>
    </row>
    <row r="953" spans="1:54" x14ac:dyDescent="0.4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22"/>
      <c r="AH953" s="122"/>
      <c r="AI953" s="122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115"/>
      <c r="AT953" s="115"/>
      <c r="AU953" s="115"/>
      <c r="AV953" s="115"/>
      <c r="AW953" s="115"/>
      <c r="AX953" s="26"/>
      <c r="AY953" s="13"/>
      <c r="BB953" s="114"/>
    </row>
    <row r="954" spans="1:54" x14ac:dyDescent="0.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22"/>
      <c r="AH954" s="122"/>
      <c r="AI954" s="122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15"/>
      <c r="AU954" s="115"/>
      <c r="AV954" s="115"/>
      <c r="AW954" s="115"/>
      <c r="AX954" s="26"/>
      <c r="AY954" s="13"/>
      <c r="BB954" s="114"/>
    </row>
    <row r="955" spans="1:54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22"/>
      <c r="AH955" s="122"/>
      <c r="AI955" s="122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15"/>
      <c r="AT955" s="115"/>
      <c r="AU955" s="115"/>
      <c r="AV955" s="115"/>
      <c r="AW955" s="115"/>
      <c r="AX955" s="26"/>
      <c r="AY955" s="25"/>
      <c r="BB955" s="114"/>
    </row>
    <row r="956" spans="1:54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22"/>
      <c r="AH956" s="122"/>
      <c r="AI956" s="122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15"/>
      <c r="AU956" s="115"/>
      <c r="AV956" s="115"/>
      <c r="AW956" s="115"/>
      <c r="AX956" s="17"/>
      <c r="AY956" s="13"/>
      <c r="BB956" s="114"/>
    </row>
    <row r="957" spans="1:54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22"/>
      <c r="AH957" s="122"/>
      <c r="AI957" s="122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115"/>
      <c r="AU957" s="115"/>
      <c r="AV957" s="115"/>
      <c r="AW957" s="115"/>
      <c r="AX957" s="26"/>
      <c r="AY957" s="15"/>
      <c r="BB957" s="114"/>
    </row>
    <row r="958" spans="1:54" x14ac:dyDescent="0.4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22"/>
      <c r="AH958" s="122"/>
      <c r="AI958" s="122"/>
      <c r="AJ958" s="115"/>
      <c r="AK958" s="115"/>
      <c r="AL958" s="115"/>
      <c r="AM958" s="115"/>
      <c r="AN958" s="115"/>
      <c r="AO958" s="115"/>
      <c r="AP958" s="115"/>
      <c r="AQ958" s="115"/>
      <c r="AR958" s="115"/>
      <c r="AS958" s="115"/>
      <c r="AT958" s="115"/>
      <c r="AU958" s="115"/>
      <c r="AV958" s="115"/>
      <c r="AW958" s="115"/>
      <c r="AX958" s="26"/>
      <c r="AY958" s="15"/>
      <c r="BB958" s="114"/>
    </row>
    <row r="959" spans="1:54" x14ac:dyDescent="0.4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22"/>
      <c r="AH959" s="122"/>
      <c r="AI959" s="122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15"/>
      <c r="AU959" s="115"/>
      <c r="AV959" s="115"/>
      <c r="AW959" s="115"/>
      <c r="AX959" s="17"/>
      <c r="AY959" s="15"/>
      <c r="BB959" s="114"/>
    </row>
    <row r="960" spans="1:54" x14ac:dyDescent="0.4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22"/>
      <c r="AH960" s="122"/>
      <c r="AI960" s="122"/>
      <c r="AJ960" s="115"/>
      <c r="AK960" s="115"/>
      <c r="AL960" s="115"/>
      <c r="AM960" s="115"/>
      <c r="AN960" s="115"/>
      <c r="AO960" s="115"/>
      <c r="AP960" s="115"/>
      <c r="AQ960" s="115"/>
      <c r="AR960" s="115"/>
      <c r="AS960" s="115"/>
      <c r="AT960" s="115"/>
      <c r="AU960" s="115"/>
      <c r="AV960" s="115"/>
      <c r="AW960" s="115"/>
      <c r="AX960" s="26"/>
      <c r="AY960" s="15"/>
      <c r="BB960" s="114"/>
    </row>
    <row r="961" spans="1:54" x14ac:dyDescent="0.4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22"/>
      <c r="AH961" s="122"/>
      <c r="AI961" s="122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15"/>
      <c r="AU961" s="115"/>
      <c r="AV961" s="115"/>
      <c r="AW961" s="115"/>
      <c r="AX961" s="26"/>
      <c r="AY961" s="15"/>
      <c r="BB961" s="114"/>
    </row>
    <row r="962" spans="1:54" x14ac:dyDescent="0.4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22"/>
      <c r="AH962" s="122"/>
      <c r="AI962" s="122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15"/>
      <c r="AU962" s="115"/>
      <c r="AV962" s="115"/>
      <c r="AW962" s="115"/>
      <c r="AX962" s="26"/>
      <c r="AY962" s="13"/>
      <c r="BB962" s="114"/>
    </row>
    <row r="963" spans="1:54" x14ac:dyDescent="0.4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22"/>
      <c r="AH963" s="122"/>
      <c r="AI963" s="122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115"/>
      <c r="AT963" s="115"/>
      <c r="AU963" s="115"/>
      <c r="AV963" s="115"/>
      <c r="AW963" s="115"/>
      <c r="AX963" s="26"/>
      <c r="AY963" s="13"/>
      <c r="BB963" s="114"/>
    </row>
    <row r="964" spans="1:54" x14ac:dyDescent="0.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22"/>
      <c r="AH964" s="122"/>
      <c r="AI964" s="122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115"/>
      <c r="AT964" s="115"/>
      <c r="AU964" s="115"/>
      <c r="AV964" s="115"/>
      <c r="AW964" s="115"/>
      <c r="AX964" s="26"/>
      <c r="AY964" s="13"/>
      <c r="BB964" s="114"/>
    </row>
    <row r="965" spans="1:54" x14ac:dyDescent="0.4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22"/>
      <c r="AH965" s="122"/>
      <c r="AI965" s="122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115"/>
      <c r="AU965" s="115"/>
      <c r="AV965" s="115"/>
      <c r="AW965" s="115"/>
      <c r="AX965" s="26"/>
      <c r="AY965" s="13"/>
      <c r="BB965" s="114"/>
    </row>
    <row r="966" spans="1:54" x14ac:dyDescent="0.4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22"/>
      <c r="AH966" s="122"/>
      <c r="AI966" s="122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15"/>
      <c r="AU966" s="115"/>
      <c r="AV966" s="115"/>
      <c r="AW966" s="115"/>
      <c r="AX966" s="26"/>
      <c r="AY966" s="13"/>
      <c r="BB966" s="114"/>
    </row>
    <row r="967" spans="1:54" x14ac:dyDescent="0.4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22"/>
      <c r="AH967" s="122"/>
      <c r="AI967" s="122"/>
      <c r="AJ967" s="115"/>
      <c r="AK967" s="115"/>
      <c r="AL967" s="115"/>
      <c r="AM967" s="115"/>
      <c r="AN967" s="115"/>
      <c r="AO967" s="115"/>
      <c r="AP967" s="115"/>
      <c r="AQ967" s="115"/>
      <c r="AR967" s="115"/>
      <c r="AS967" s="115"/>
      <c r="AT967" s="115"/>
      <c r="AU967" s="115"/>
      <c r="AV967" s="115"/>
      <c r="AW967" s="115"/>
      <c r="AX967" s="26"/>
      <c r="AY967" s="13"/>
      <c r="BB967" s="114"/>
    </row>
    <row r="968" spans="1:54" x14ac:dyDescent="0.4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22"/>
      <c r="AH968" s="122"/>
      <c r="AI968" s="122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15"/>
      <c r="AU968" s="115"/>
      <c r="AV968" s="115"/>
      <c r="AW968" s="115"/>
      <c r="AX968" s="26"/>
      <c r="AY968" s="13"/>
      <c r="BB968" s="114"/>
    </row>
    <row r="969" spans="1:54" x14ac:dyDescent="0.4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22"/>
      <c r="AH969" s="122"/>
      <c r="AI969" s="122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15"/>
      <c r="AU969" s="115"/>
      <c r="AV969" s="115"/>
      <c r="AW969" s="115"/>
      <c r="AX969" s="26"/>
      <c r="AY969" s="13"/>
      <c r="BB969" s="114"/>
    </row>
    <row r="970" spans="1:54" x14ac:dyDescent="0.4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22"/>
      <c r="AH970" s="122"/>
      <c r="AI970" s="122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115"/>
      <c r="AT970" s="115"/>
      <c r="AU970" s="115"/>
      <c r="AV970" s="115"/>
      <c r="AW970" s="115"/>
      <c r="AX970" s="17"/>
      <c r="AY970" s="13"/>
      <c r="BB970" s="114"/>
    </row>
    <row r="971" spans="1:54" x14ac:dyDescent="0.4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22"/>
      <c r="AH971" s="122"/>
      <c r="AI971" s="122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115"/>
      <c r="AT971" s="115"/>
      <c r="AU971" s="115"/>
      <c r="AV971" s="115"/>
      <c r="AW971" s="115"/>
      <c r="AX971" s="26"/>
      <c r="AY971" s="13"/>
      <c r="BB971" s="114"/>
    </row>
    <row r="972" spans="1:54" x14ac:dyDescent="0.4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22"/>
      <c r="AH972" s="122"/>
      <c r="AI972" s="122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15"/>
      <c r="AU972" s="115"/>
      <c r="AV972" s="115"/>
      <c r="AW972" s="115"/>
      <c r="AX972" s="17"/>
      <c r="AY972" s="13"/>
      <c r="BB972" s="114"/>
    </row>
    <row r="973" spans="1:54" x14ac:dyDescent="0.4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22"/>
      <c r="AH973" s="122"/>
      <c r="AI973" s="122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15"/>
      <c r="AU973" s="115"/>
      <c r="AV973" s="115"/>
      <c r="AW973" s="115"/>
      <c r="AX973" s="26"/>
      <c r="AY973" s="13"/>
      <c r="BB973" s="114"/>
    </row>
    <row r="974" spans="1:54" x14ac:dyDescent="0.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22"/>
      <c r="AH974" s="122"/>
      <c r="AI974" s="122"/>
      <c r="AJ974" s="115"/>
      <c r="AK974" s="115"/>
      <c r="AL974" s="115"/>
      <c r="AM974" s="115"/>
      <c r="AN974" s="115"/>
      <c r="AO974" s="115"/>
      <c r="AP974" s="115"/>
      <c r="AQ974" s="115"/>
      <c r="AR974" s="115"/>
      <c r="AS974" s="115"/>
      <c r="AT974" s="115"/>
      <c r="AU974" s="115"/>
      <c r="AV974" s="115"/>
      <c r="AW974" s="115"/>
      <c r="AX974" s="26"/>
      <c r="AY974" s="13"/>
      <c r="BB974" s="114"/>
    </row>
    <row r="975" spans="1:54" x14ac:dyDescent="0.4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22"/>
      <c r="AH975" s="122"/>
      <c r="AI975" s="122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115"/>
      <c r="AT975" s="115"/>
      <c r="AU975" s="115"/>
      <c r="AV975" s="115"/>
      <c r="AW975" s="115"/>
      <c r="AX975" s="26"/>
      <c r="AY975" s="13"/>
      <c r="BB975" s="114"/>
    </row>
    <row r="976" spans="1:54" x14ac:dyDescent="0.4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22"/>
      <c r="AH976" s="122"/>
      <c r="AI976" s="122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15"/>
      <c r="AU976" s="115"/>
      <c r="AV976" s="115"/>
      <c r="AW976" s="115"/>
      <c r="AX976" s="26"/>
      <c r="AY976" s="15"/>
      <c r="BB976" s="114"/>
    </row>
    <row r="977" spans="1:55" x14ac:dyDescent="0.4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22"/>
      <c r="AH977" s="122"/>
      <c r="AI977" s="122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15"/>
      <c r="AU977" s="115"/>
      <c r="AV977" s="115"/>
      <c r="AW977" s="115"/>
      <c r="AX977" s="26"/>
      <c r="AY977" s="15"/>
      <c r="BB977" s="114"/>
    </row>
    <row r="978" spans="1:55" x14ac:dyDescent="0.4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22"/>
      <c r="AH978" s="122"/>
      <c r="AI978" s="122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115"/>
      <c r="AU978" s="115"/>
      <c r="AV978" s="115"/>
      <c r="AW978" s="115"/>
      <c r="AX978" s="26"/>
      <c r="AY978" s="15"/>
      <c r="BB978" s="114"/>
    </row>
    <row r="979" spans="1:55" x14ac:dyDescent="0.4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22"/>
      <c r="AH979" s="122"/>
      <c r="AI979" s="122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15"/>
      <c r="AU979" s="115"/>
      <c r="AV979" s="115"/>
      <c r="AW979" s="115"/>
      <c r="AX979" s="26"/>
      <c r="AY979" s="13"/>
      <c r="BB979" s="114"/>
    </row>
    <row r="980" spans="1:55" x14ac:dyDescent="0.4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22"/>
      <c r="AH980" s="122"/>
      <c r="AI980" s="122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115"/>
      <c r="AU980" s="115"/>
      <c r="AV980" s="115"/>
      <c r="AW980" s="115"/>
      <c r="AX980" s="26"/>
      <c r="AY980" s="15"/>
      <c r="BB980" s="114"/>
    </row>
    <row r="981" spans="1:55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22"/>
      <c r="AH981" s="122"/>
      <c r="AI981" s="122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15"/>
      <c r="AU981" s="115"/>
      <c r="AV981" s="115"/>
      <c r="AW981" s="115"/>
      <c r="AX981" s="26"/>
      <c r="AY981" s="15"/>
      <c r="BB981" s="114"/>
      <c r="BC981" s="120"/>
    </row>
    <row r="982" spans="1:55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22"/>
      <c r="AH982" s="122"/>
      <c r="AI982" s="122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115"/>
      <c r="AU982" s="115"/>
      <c r="AV982" s="115"/>
      <c r="AW982" s="115"/>
      <c r="AX982" s="26"/>
      <c r="AY982" s="15"/>
      <c r="BB982" s="114"/>
      <c r="BC982" s="120"/>
    </row>
    <row r="983" spans="1:55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22"/>
      <c r="AH983" s="122"/>
      <c r="AI983" s="122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15"/>
      <c r="AU983" s="115"/>
      <c r="AV983" s="115"/>
      <c r="AW983" s="115"/>
      <c r="AX983" s="26"/>
      <c r="AY983" s="15"/>
      <c r="BB983" s="114"/>
      <c r="BC983" s="120"/>
    </row>
    <row r="984" spans="1:55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22"/>
      <c r="AH984" s="122"/>
      <c r="AI984" s="122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15"/>
      <c r="AU984" s="115"/>
      <c r="AV984" s="115"/>
      <c r="AW984" s="115"/>
      <c r="AX984" s="26"/>
      <c r="AY984" s="15"/>
      <c r="BB984" s="114"/>
      <c r="BC984" s="120"/>
    </row>
    <row r="985" spans="1:55" x14ac:dyDescent="0.4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22"/>
      <c r="AH985" s="122"/>
      <c r="AI985" s="122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15"/>
      <c r="AU985" s="115"/>
      <c r="AV985" s="115"/>
      <c r="AW985" s="115"/>
      <c r="AX985" s="26"/>
      <c r="AY985" s="15"/>
      <c r="BB985" s="114"/>
      <c r="BC985" s="120"/>
    </row>
    <row r="986" spans="1:55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22"/>
      <c r="AH986" s="122"/>
      <c r="AI986" s="122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15"/>
      <c r="AU986" s="115"/>
      <c r="AV986" s="115"/>
      <c r="AW986" s="115"/>
      <c r="AX986" s="26"/>
      <c r="AY986" s="15"/>
      <c r="BB986" s="114"/>
      <c r="BC986" s="120"/>
    </row>
    <row r="987" spans="1:55" x14ac:dyDescent="0.4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22"/>
      <c r="AH987" s="122"/>
      <c r="AI987" s="122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15"/>
      <c r="AU987" s="115"/>
      <c r="AV987" s="115"/>
      <c r="AW987" s="115"/>
      <c r="AX987" s="26"/>
      <c r="AY987" s="15"/>
      <c r="BB987" s="114"/>
      <c r="BC987" s="120"/>
    </row>
    <row r="988" spans="1:55" x14ac:dyDescent="0.4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22"/>
      <c r="AH988" s="122"/>
      <c r="AI988" s="122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15"/>
      <c r="AU988" s="115"/>
      <c r="AV988" s="115"/>
      <c r="AW988" s="115"/>
      <c r="AX988" s="17"/>
      <c r="AY988" s="15"/>
      <c r="BB988" s="114"/>
      <c r="BC988" s="120"/>
    </row>
    <row r="989" spans="1:55" x14ac:dyDescent="0.4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22"/>
      <c r="AH989" s="122"/>
      <c r="AI989" s="122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15"/>
      <c r="AU989" s="115"/>
      <c r="AV989" s="115"/>
      <c r="AW989" s="115"/>
      <c r="AX989" s="26"/>
      <c r="AY989" s="15"/>
      <c r="BB989" s="114"/>
      <c r="BC989" s="120"/>
    </row>
    <row r="990" spans="1:55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22"/>
      <c r="AH990" s="122"/>
      <c r="AI990" s="122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15"/>
      <c r="AU990" s="115"/>
      <c r="AV990" s="115"/>
      <c r="AW990" s="115"/>
      <c r="AX990" s="26"/>
      <c r="AY990" s="15"/>
      <c r="BB990" s="114"/>
    </row>
    <row r="991" spans="1:55" x14ac:dyDescent="0.4">
      <c r="AX991" s="26"/>
      <c r="AY991" s="15"/>
      <c r="BB991" s="114"/>
    </row>
    <row r="992" spans="1:55" x14ac:dyDescent="0.4"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115"/>
      <c r="AU992" s="115"/>
      <c r="AV992" s="115"/>
      <c r="AW992" s="115"/>
      <c r="AX992" s="17"/>
      <c r="AY992" s="15"/>
      <c r="BB992" s="114"/>
    </row>
    <row r="993" spans="4:58" x14ac:dyDescent="0.4"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15"/>
      <c r="AU993" s="115"/>
      <c r="AV993" s="115"/>
      <c r="AW993" s="115"/>
      <c r="AX993" s="17"/>
      <c r="AY993" s="15"/>
      <c r="BB993" s="114"/>
    </row>
    <row r="994" spans="4:58" x14ac:dyDescent="0.4">
      <c r="AI994" s="122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115"/>
      <c r="AU994" s="115"/>
      <c r="AV994" s="115"/>
      <c r="AW994" s="115"/>
      <c r="AX994" s="17"/>
      <c r="AY994" s="15"/>
      <c r="BB994" s="114"/>
    </row>
    <row r="995" spans="4:58" x14ac:dyDescent="0.4">
      <c r="AD995" s="115"/>
      <c r="AE995" s="115"/>
      <c r="AF995" s="115"/>
      <c r="AG995" s="122"/>
      <c r="AH995" s="122"/>
      <c r="AI995" s="122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15"/>
      <c r="AU995" s="115"/>
      <c r="AV995" s="115"/>
      <c r="AW995" s="115"/>
      <c r="AX995" s="26"/>
      <c r="AY995" s="15"/>
      <c r="BB995" s="114"/>
    </row>
    <row r="996" spans="4:58" x14ac:dyDescent="0.4">
      <c r="AD996" s="115"/>
      <c r="AE996" s="115"/>
      <c r="AF996" s="115"/>
      <c r="AG996" s="122"/>
      <c r="AH996" s="122"/>
      <c r="AI996" s="122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15"/>
      <c r="AU996" s="115"/>
      <c r="AV996" s="115"/>
      <c r="AW996" s="115"/>
      <c r="AX996" s="17"/>
      <c r="AY996" s="15"/>
      <c r="BB996" s="114"/>
    </row>
    <row r="997" spans="4:58" x14ac:dyDescent="0.4">
      <c r="AC997" s="115"/>
      <c r="AD997" s="115"/>
      <c r="AE997" s="115"/>
      <c r="AF997" s="115"/>
      <c r="AG997" s="122"/>
      <c r="AH997" s="122"/>
      <c r="AI997" s="122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115"/>
      <c r="AU997" s="115"/>
      <c r="AV997" s="115"/>
      <c r="AW997" s="115"/>
      <c r="AX997" s="26"/>
      <c r="AY997" s="15"/>
      <c r="BB997" s="114"/>
    </row>
    <row r="998" spans="4:58" x14ac:dyDescent="0.4">
      <c r="AC998" s="115"/>
      <c r="AD998" s="115"/>
      <c r="AE998" s="115"/>
      <c r="AF998" s="115"/>
      <c r="AG998" s="122"/>
      <c r="AH998" s="122"/>
      <c r="AI998" s="122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115"/>
      <c r="AU998" s="115"/>
      <c r="AV998" s="115"/>
      <c r="AW998" s="115"/>
      <c r="AX998" s="17"/>
      <c r="AY998" s="15"/>
      <c r="BB998" s="114"/>
    </row>
    <row r="999" spans="4:58" x14ac:dyDescent="0.4">
      <c r="AC999" s="115"/>
      <c r="AD999" s="115"/>
      <c r="AE999" s="115"/>
      <c r="AF999" s="115"/>
      <c r="AG999" s="122"/>
      <c r="AH999" s="122"/>
      <c r="AI999" s="122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15"/>
      <c r="AU999" s="115"/>
      <c r="AV999" s="115"/>
      <c r="AW999" s="115"/>
      <c r="AX999" s="17"/>
      <c r="AY999" s="15"/>
      <c r="BB999" s="114"/>
    </row>
    <row r="1000" spans="4:58" x14ac:dyDescent="0.4">
      <c r="AC1000" s="115"/>
      <c r="AD1000" s="115"/>
      <c r="AE1000" s="115"/>
      <c r="AF1000" s="115"/>
      <c r="AG1000" s="122"/>
      <c r="AH1000" s="122"/>
      <c r="AI1000" s="122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15"/>
      <c r="AU1000" s="115"/>
      <c r="AV1000" s="115"/>
      <c r="AW1000" s="115"/>
      <c r="AX1000" s="17"/>
      <c r="AY1000" s="15"/>
      <c r="BB1000" s="114"/>
    </row>
    <row r="1001" spans="4:58" x14ac:dyDescent="0.4">
      <c r="AC1001" s="115"/>
      <c r="AD1001" s="115"/>
      <c r="AE1001" s="115"/>
      <c r="AF1001" s="115"/>
      <c r="AG1001" s="122"/>
      <c r="AH1001" s="122"/>
      <c r="AI1001" s="122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15"/>
      <c r="AU1001" s="115"/>
      <c r="AV1001" s="115"/>
      <c r="AW1001" s="115"/>
      <c r="AX1001" s="26"/>
      <c r="AY1001" s="15"/>
      <c r="BB1001" s="114"/>
    </row>
    <row r="1002" spans="4:58" x14ac:dyDescent="0.4">
      <c r="AC1002" s="115"/>
      <c r="AD1002" s="115"/>
      <c r="AE1002" s="115"/>
      <c r="AF1002" s="115"/>
      <c r="AG1002" s="122"/>
      <c r="AH1002" s="122"/>
      <c r="AI1002" s="122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15"/>
      <c r="AU1002" s="115"/>
      <c r="AV1002" s="115"/>
      <c r="AW1002" s="115"/>
      <c r="AX1002" s="17"/>
      <c r="AY1002" s="15"/>
      <c r="BB1002" s="114"/>
    </row>
    <row r="1003" spans="4:58" ht="19.5" x14ac:dyDescent="0.4">
      <c r="AX1003" s="26"/>
      <c r="AY1003" s="15"/>
      <c r="BC1003" s="116"/>
      <c r="BD1003" s="116"/>
      <c r="BE1003" s="116"/>
      <c r="BF1003" s="116"/>
    </row>
    <row r="1004" spans="4:58" ht="19.5" x14ac:dyDescent="0.4">
      <c r="AH1004" s="122"/>
      <c r="AI1004" s="122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115"/>
      <c r="AU1004" s="115"/>
      <c r="AV1004" s="115"/>
      <c r="AW1004" s="115"/>
      <c r="AX1004" s="17"/>
      <c r="AY1004" s="15"/>
      <c r="BC1004" s="117"/>
      <c r="BD1004" s="116"/>
      <c r="BE1004" s="116"/>
      <c r="BF1004" s="116"/>
    </row>
    <row r="1005" spans="4:58" ht="19.5" x14ac:dyDescent="0.4">
      <c r="Z1005" s="115"/>
      <c r="AA1005" s="115"/>
      <c r="AB1005" s="115"/>
      <c r="AC1005" s="115"/>
      <c r="AD1005" s="115"/>
      <c r="AE1005" s="115"/>
      <c r="AF1005" s="115"/>
      <c r="AG1005" s="122"/>
      <c r="AH1005" s="122"/>
      <c r="AI1005" s="122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15"/>
      <c r="AU1005" s="115"/>
      <c r="AV1005" s="115"/>
      <c r="AW1005" s="115"/>
      <c r="AX1005" s="26"/>
      <c r="AY1005" s="15"/>
      <c r="BC1005" s="117"/>
      <c r="BD1005" s="116"/>
      <c r="BE1005" s="116"/>
      <c r="BF1005" s="116"/>
    </row>
    <row r="1006" spans="4:58" ht="19.5" x14ac:dyDescent="0.4"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22"/>
      <c r="AH1006" s="122"/>
      <c r="AI1006" s="122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15"/>
      <c r="AU1006" s="115"/>
      <c r="AV1006" s="115"/>
      <c r="AW1006" s="115"/>
      <c r="AX1006" s="26"/>
      <c r="AY1006" s="13"/>
      <c r="BC1006" s="117"/>
      <c r="BD1006" s="116"/>
      <c r="BE1006" s="116"/>
      <c r="BF1006" s="116"/>
    </row>
    <row r="1007" spans="4:58" ht="19.5" x14ac:dyDescent="0.4"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22"/>
      <c r="AH1007" s="122"/>
      <c r="AI1007" s="122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115"/>
      <c r="AU1007" s="115"/>
      <c r="AV1007" s="115"/>
      <c r="AW1007" s="115"/>
      <c r="AX1007" s="26"/>
      <c r="AY1007" s="15"/>
      <c r="BC1007" s="117"/>
      <c r="BD1007" s="116"/>
      <c r="BE1007" s="116"/>
      <c r="BF1007" s="116"/>
    </row>
    <row r="1008" spans="4:58" ht="19.5" x14ac:dyDescent="0.4"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22"/>
      <c r="AH1008" s="122"/>
      <c r="AI1008" s="122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15"/>
      <c r="AU1008" s="115"/>
      <c r="AV1008" s="115"/>
      <c r="AW1008" s="115"/>
      <c r="AX1008" s="17"/>
      <c r="AY1008" s="15"/>
      <c r="BC1008" s="117"/>
      <c r="BD1008" s="116"/>
      <c r="BE1008" s="116"/>
      <c r="BF1008" s="116"/>
    </row>
    <row r="1009" spans="1:58" ht="19.5" x14ac:dyDescent="0.4"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22"/>
      <c r="AH1009" s="122"/>
      <c r="AI1009" s="122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115"/>
      <c r="AU1009" s="115"/>
      <c r="AV1009" s="115"/>
      <c r="AW1009" s="115"/>
      <c r="AX1009" s="26"/>
      <c r="AY1009" s="15"/>
      <c r="BC1009" s="117"/>
      <c r="BD1009" s="116"/>
      <c r="BE1009" s="116"/>
      <c r="BF1009" s="116"/>
    </row>
    <row r="1010" spans="1:58" ht="19.5" x14ac:dyDescent="0.4"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22"/>
      <c r="AH1010" s="122"/>
      <c r="AI1010" s="122"/>
      <c r="AJ1010" s="115"/>
      <c r="AK1010" s="115"/>
      <c r="AL1010" s="115"/>
      <c r="AM1010" s="115"/>
      <c r="AN1010" s="115"/>
      <c r="AO1010" s="115"/>
      <c r="AP1010" s="115"/>
      <c r="AQ1010" s="115"/>
      <c r="AR1010" s="115"/>
      <c r="AS1010" s="115"/>
      <c r="AT1010" s="115"/>
      <c r="AU1010" s="115"/>
      <c r="AV1010" s="115"/>
      <c r="AW1010" s="115"/>
      <c r="AX1010" s="26"/>
      <c r="AY1010" s="15"/>
      <c r="BC1010" s="117"/>
      <c r="BD1010" s="116"/>
      <c r="BE1010" s="116"/>
      <c r="BF1010" s="116"/>
    </row>
    <row r="1011" spans="1:58" ht="19.5" x14ac:dyDescent="0.4"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22"/>
      <c r="AH1011" s="122"/>
      <c r="AI1011" s="122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115"/>
      <c r="AU1011" s="115"/>
      <c r="AV1011" s="115"/>
      <c r="AW1011" s="115"/>
      <c r="AX1011" s="17"/>
      <c r="AY1011" s="15"/>
      <c r="BC1011" s="117"/>
      <c r="BD1011" s="116"/>
      <c r="BE1011" s="116"/>
      <c r="BF1011" s="116"/>
    </row>
    <row r="1012" spans="1:58" ht="19.5" x14ac:dyDescent="0.4"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22"/>
      <c r="AH1012" s="122"/>
      <c r="AI1012" s="122"/>
      <c r="AJ1012" s="115"/>
      <c r="AK1012" s="115"/>
      <c r="AL1012" s="115"/>
      <c r="AM1012" s="115"/>
      <c r="AN1012" s="115"/>
      <c r="AO1012" s="115"/>
      <c r="AP1012" s="115"/>
      <c r="AQ1012" s="115"/>
      <c r="AR1012" s="115"/>
      <c r="AS1012" s="115"/>
      <c r="AT1012" s="115"/>
      <c r="AU1012" s="115"/>
      <c r="AV1012" s="115"/>
      <c r="AW1012" s="115"/>
      <c r="AX1012" s="26"/>
      <c r="AY1012" s="15"/>
      <c r="BC1012" s="117"/>
      <c r="BD1012" s="116"/>
      <c r="BE1012" s="116"/>
      <c r="BF1012" s="116"/>
    </row>
    <row r="1013" spans="1:58" ht="19.5" x14ac:dyDescent="0.4">
      <c r="AX1013" s="26"/>
      <c r="AY1013" s="15"/>
      <c r="BC1013" s="117"/>
      <c r="BD1013" s="116"/>
      <c r="BE1013" s="116"/>
      <c r="BF1013" s="116"/>
    </row>
    <row r="1014" spans="1:58" ht="19.5" x14ac:dyDescent="0.4">
      <c r="AH1014" s="122"/>
      <c r="AI1014" s="122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115"/>
      <c r="AT1014" s="115"/>
      <c r="AU1014" s="115"/>
      <c r="AV1014" s="115"/>
      <c r="AW1014" s="115"/>
      <c r="AX1014" s="17"/>
      <c r="AY1014" s="15"/>
      <c r="BC1014" s="117"/>
      <c r="BD1014" s="116"/>
      <c r="BE1014" s="116"/>
      <c r="BF1014" s="116"/>
    </row>
    <row r="1015" spans="1:58" ht="19.5" x14ac:dyDescent="0.4">
      <c r="AE1015" s="115"/>
      <c r="AF1015" s="115"/>
      <c r="AG1015" s="122"/>
      <c r="AH1015" s="122"/>
      <c r="AI1015" s="122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15"/>
      <c r="AU1015" s="115"/>
      <c r="AV1015" s="115"/>
      <c r="AW1015" s="115"/>
      <c r="AX1015" s="26"/>
      <c r="AY1015" s="15"/>
      <c r="BC1015" s="117"/>
      <c r="BD1015" s="116"/>
      <c r="BE1015" s="116"/>
      <c r="BF1015" s="116"/>
    </row>
    <row r="1016" spans="1:58" ht="19.5" x14ac:dyDescent="0.4">
      <c r="AE1016" s="115"/>
      <c r="AF1016" s="115"/>
      <c r="AG1016" s="122"/>
      <c r="AH1016" s="122"/>
      <c r="AI1016" s="122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15"/>
      <c r="AU1016" s="115"/>
      <c r="AV1016" s="115"/>
      <c r="AW1016" s="115"/>
      <c r="AX1016" s="17"/>
      <c r="AY1016" s="15"/>
      <c r="BC1016" s="117"/>
      <c r="BD1016" s="116"/>
      <c r="BE1016" s="116"/>
      <c r="BF1016" s="116"/>
    </row>
    <row r="1017" spans="1:58" ht="19.5" x14ac:dyDescent="0.4">
      <c r="AD1017" s="115"/>
      <c r="AE1017" s="115"/>
      <c r="AF1017" s="115"/>
      <c r="AG1017" s="122"/>
      <c r="AH1017" s="122"/>
      <c r="AI1017" s="122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115"/>
      <c r="AU1017" s="115"/>
      <c r="AV1017" s="115"/>
      <c r="AW1017" s="115"/>
      <c r="AX1017" s="26"/>
      <c r="AY1017" s="15"/>
      <c r="BC1017" s="117"/>
      <c r="BD1017" s="116"/>
      <c r="BE1017" s="116"/>
      <c r="BF1017" s="116"/>
    </row>
    <row r="1018" spans="1:58" ht="19.5" x14ac:dyDescent="0.4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22"/>
      <c r="AH1018" s="122"/>
      <c r="AI1018" s="122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15"/>
      <c r="AU1018" s="115"/>
      <c r="AV1018" s="115"/>
      <c r="AW1018" s="115"/>
      <c r="AX1018" s="26"/>
      <c r="AY1018" s="15"/>
      <c r="BC1018" s="117"/>
      <c r="BD1018" s="116"/>
      <c r="BE1018" s="116"/>
      <c r="BF1018" s="116"/>
    </row>
    <row r="1019" spans="1:58" ht="19.5" x14ac:dyDescent="0.4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22"/>
      <c r="AH1019" s="122"/>
      <c r="AI1019" s="122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115"/>
      <c r="AU1019" s="115"/>
      <c r="AV1019" s="115"/>
      <c r="AW1019" s="115"/>
      <c r="AX1019" s="26"/>
      <c r="AY1019" s="15"/>
      <c r="BC1019" s="117"/>
      <c r="BD1019" s="116"/>
      <c r="BE1019" s="116"/>
      <c r="BF1019" s="116"/>
    </row>
    <row r="1020" spans="1:58" ht="19.5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22"/>
      <c r="AH1020" s="122"/>
      <c r="AI1020" s="122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115"/>
      <c r="AT1020" s="115"/>
      <c r="AU1020" s="115"/>
      <c r="AV1020" s="115"/>
      <c r="AW1020" s="115"/>
      <c r="AX1020" s="26"/>
      <c r="AY1020" s="15"/>
      <c r="BC1020" s="117"/>
      <c r="BD1020" s="116"/>
      <c r="BE1020" s="116"/>
      <c r="BF1020" s="116"/>
    </row>
    <row r="1021" spans="1:58" ht="19.5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22"/>
      <c r="AH1021" s="122"/>
      <c r="AI1021" s="122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115"/>
      <c r="AU1021" s="115"/>
      <c r="AV1021" s="115"/>
      <c r="AW1021" s="115"/>
      <c r="AX1021" s="26"/>
      <c r="AY1021" s="105"/>
      <c r="BC1021" s="117"/>
      <c r="BD1021" s="116"/>
      <c r="BE1021" s="116"/>
      <c r="BF1021" s="116"/>
    </row>
    <row r="1022" spans="1:58" ht="19.5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22"/>
      <c r="AH1022" s="122"/>
      <c r="AI1022" s="122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115"/>
      <c r="AU1022" s="115"/>
      <c r="AV1022" s="115"/>
      <c r="AW1022" s="115"/>
      <c r="AX1022" s="26"/>
      <c r="AY1022" s="105"/>
      <c r="BC1022" s="117"/>
      <c r="BD1022" s="116"/>
      <c r="BE1022" s="116"/>
      <c r="BF1022" s="116"/>
    </row>
    <row r="1023" spans="1:58" ht="19.5" x14ac:dyDescent="0.4">
      <c r="AX1023" s="26"/>
      <c r="AY1023" s="13"/>
      <c r="BC1023" s="117"/>
      <c r="BD1023" s="116"/>
      <c r="BE1023" s="116"/>
      <c r="BF1023" s="116"/>
    </row>
    <row r="1024" spans="1:58" ht="19.5" x14ac:dyDescent="0.4">
      <c r="AE1024" s="115"/>
      <c r="AF1024" s="115"/>
      <c r="AG1024" s="122"/>
      <c r="AH1024" s="122"/>
      <c r="AI1024" s="122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115"/>
      <c r="AT1024" s="115"/>
      <c r="AU1024" s="115"/>
      <c r="AV1024" s="115"/>
      <c r="AW1024" s="115"/>
      <c r="AX1024" s="26"/>
      <c r="AY1024" s="13"/>
      <c r="BC1024" s="117"/>
      <c r="BD1024" s="116"/>
      <c r="BE1024" s="116"/>
      <c r="BF1024" s="116"/>
    </row>
    <row r="1025" spans="3:58" ht="19.5" x14ac:dyDescent="0.4">
      <c r="Z1025" s="115"/>
      <c r="AA1025" s="115"/>
      <c r="AB1025" s="115"/>
      <c r="AC1025" s="115"/>
      <c r="AD1025" s="115"/>
      <c r="AE1025" s="115"/>
      <c r="AF1025" s="115"/>
      <c r="AG1025" s="122"/>
      <c r="AH1025" s="122"/>
      <c r="AI1025" s="122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115"/>
      <c r="AT1025" s="115"/>
      <c r="AU1025" s="115"/>
      <c r="AV1025" s="115"/>
      <c r="AW1025" s="115"/>
      <c r="AX1025" s="26"/>
      <c r="AY1025" s="13"/>
      <c r="BC1025" s="117"/>
      <c r="BD1025" s="116"/>
      <c r="BE1025" s="116"/>
      <c r="BF1025" s="116"/>
    </row>
    <row r="1026" spans="3:58" ht="19.5" x14ac:dyDescent="0.4">
      <c r="AX1026" s="26"/>
      <c r="AY1026" s="13"/>
      <c r="BC1026" s="117"/>
      <c r="BD1026" s="116"/>
      <c r="BE1026" s="116"/>
      <c r="BF1026" s="116"/>
    </row>
    <row r="1027" spans="3:58" ht="19.5" x14ac:dyDescent="0.4"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22"/>
      <c r="AH1027" s="122"/>
      <c r="AI1027" s="122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115"/>
      <c r="AT1027" s="115"/>
      <c r="AU1027" s="115"/>
      <c r="AV1027" s="115"/>
      <c r="AW1027" s="115"/>
      <c r="AX1027" s="26"/>
      <c r="AY1027" s="13"/>
      <c r="BC1027" s="117"/>
      <c r="BD1027" s="116"/>
      <c r="BE1027" s="116"/>
      <c r="BF1027" s="116"/>
    </row>
    <row r="1028" spans="3:58" ht="19.5" x14ac:dyDescent="0.4"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22"/>
      <c r="AH1028" s="122"/>
      <c r="AI1028" s="122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15"/>
      <c r="AU1028" s="115"/>
      <c r="AV1028" s="115"/>
      <c r="AW1028" s="115"/>
      <c r="AX1028" s="26"/>
      <c r="AY1028" s="13"/>
      <c r="BC1028" s="117"/>
      <c r="BD1028" s="116"/>
      <c r="BE1028" s="116"/>
      <c r="BF1028" s="116"/>
    </row>
    <row r="1029" spans="3:58" ht="19.5" x14ac:dyDescent="0.4"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22"/>
      <c r="AH1029" s="122"/>
      <c r="AI1029" s="122"/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115"/>
      <c r="AT1029" s="115"/>
      <c r="AU1029" s="115"/>
      <c r="AV1029" s="115"/>
      <c r="AW1029" s="115"/>
      <c r="AX1029" s="26"/>
      <c r="AY1029" s="13"/>
      <c r="BC1029" s="117"/>
      <c r="BD1029" s="116"/>
      <c r="BE1029" s="116"/>
      <c r="BF1029" s="116"/>
    </row>
    <row r="1030" spans="3:58" ht="19.5" x14ac:dyDescent="0.4"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22"/>
      <c r="AH1030" s="122"/>
      <c r="AI1030" s="122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115"/>
      <c r="AT1030" s="115"/>
      <c r="AU1030" s="115"/>
      <c r="AV1030" s="115"/>
      <c r="AW1030" s="115"/>
      <c r="AX1030" s="26"/>
      <c r="AY1030" s="13"/>
      <c r="BC1030" s="117"/>
      <c r="BD1030" s="116"/>
      <c r="BE1030" s="116"/>
      <c r="BF1030" s="116"/>
    </row>
    <row r="1031" spans="3:58" ht="19.5" x14ac:dyDescent="0.4"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22"/>
      <c r="AH1031" s="122"/>
      <c r="AI1031" s="122"/>
      <c r="AJ1031" s="115"/>
      <c r="AK1031" s="115"/>
      <c r="AL1031" s="115"/>
      <c r="AM1031" s="115"/>
      <c r="AN1031" s="115"/>
      <c r="AO1031" s="115"/>
      <c r="AP1031" s="115"/>
      <c r="AQ1031" s="115"/>
      <c r="AR1031" s="115"/>
      <c r="AS1031" s="115"/>
      <c r="AT1031" s="115"/>
      <c r="AU1031" s="115"/>
      <c r="AV1031" s="115"/>
      <c r="AW1031" s="115"/>
      <c r="AX1031" s="26"/>
      <c r="AY1031" s="13"/>
      <c r="BC1031" s="117"/>
      <c r="BD1031" s="116"/>
      <c r="BE1031" s="116"/>
      <c r="BF1031" s="116"/>
    </row>
    <row r="1032" spans="3:58" ht="19.5" x14ac:dyDescent="0.4"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22"/>
      <c r="AH1032" s="122"/>
      <c r="AI1032" s="122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115"/>
      <c r="AT1032" s="115"/>
      <c r="AU1032" s="115"/>
      <c r="AV1032" s="115"/>
      <c r="AW1032" s="115"/>
      <c r="AX1032" s="26"/>
      <c r="AY1032" s="13"/>
      <c r="BC1032" s="117"/>
      <c r="BD1032" s="116"/>
      <c r="BE1032" s="116"/>
      <c r="BF1032" s="116"/>
    </row>
    <row r="1033" spans="3:58" ht="19.5" x14ac:dyDescent="0.4"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22"/>
      <c r="AH1033" s="122"/>
      <c r="AI1033" s="122"/>
      <c r="AJ1033" s="115"/>
      <c r="AK1033" s="115"/>
      <c r="AL1033" s="115"/>
      <c r="AM1033" s="115"/>
      <c r="AN1033" s="115"/>
      <c r="AO1033" s="115"/>
      <c r="AP1033" s="115"/>
      <c r="AQ1033" s="115"/>
      <c r="AR1033" s="115"/>
      <c r="AS1033" s="115"/>
      <c r="AT1033" s="115"/>
      <c r="AU1033" s="115"/>
      <c r="AV1033" s="115"/>
      <c r="AW1033" s="115"/>
      <c r="AX1033" s="26"/>
      <c r="AY1033" s="13"/>
      <c r="BC1033" s="117"/>
      <c r="BD1033" s="116"/>
      <c r="BE1033" s="116"/>
      <c r="BF1033" s="116"/>
    </row>
    <row r="1034" spans="3:58" ht="19.5" x14ac:dyDescent="0.4"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22"/>
      <c r="AH1034" s="122"/>
      <c r="AI1034" s="122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15"/>
      <c r="AU1034" s="115"/>
      <c r="AV1034" s="115"/>
      <c r="AW1034" s="115"/>
      <c r="AX1034" s="26"/>
      <c r="AY1034" s="13"/>
      <c r="BC1034" s="117"/>
      <c r="BD1034" s="116"/>
      <c r="BE1034" s="116"/>
      <c r="BF1034" s="116"/>
    </row>
    <row r="1035" spans="3:58" ht="19.5" x14ac:dyDescent="0.4">
      <c r="AX1035" s="26"/>
      <c r="AY1035" s="15"/>
      <c r="BC1035" s="117"/>
      <c r="BD1035" s="116"/>
      <c r="BE1035" s="116"/>
      <c r="BF1035" s="116"/>
    </row>
    <row r="1036" spans="3:58" ht="19.5" x14ac:dyDescent="0.4"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22"/>
      <c r="AH1036" s="122"/>
      <c r="AI1036" s="122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15"/>
      <c r="AT1036" s="115"/>
      <c r="AU1036" s="115"/>
      <c r="AV1036" s="115"/>
      <c r="AW1036" s="115"/>
      <c r="AX1036" s="26"/>
      <c r="AY1036" s="15"/>
      <c r="BC1036" s="117"/>
      <c r="BD1036" s="116"/>
      <c r="BE1036" s="116"/>
      <c r="BF1036" s="116"/>
    </row>
    <row r="1037" spans="3:58" ht="19.5" x14ac:dyDescent="0.4"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22"/>
      <c r="AH1037" s="122"/>
      <c r="AI1037" s="122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115"/>
      <c r="AT1037" s="115"/>
      <c r="AU1037" s="115"/>
      <c r="AV1037" s="115"/>
      <c r="AW1037" s="115"/>
      <c r="AX1037" s="17"/>
      <c r="AY1037" s="15"/>
      <c r="BC1037" s="117"/>
      <c r="BD1037" s="116"/>
      <c r="BE1037" s="116"/>
      <c r="BF1037" s="116"/>
    </row>
    <row r="1038" spans="3:58" ht="19.5" x14ac:dyDescent="0.4">
      <c r="AX1038" s="26"/>
      <c r="AY1038" s="15"/>
      <c r="BC1038" s="117"/>
      <c r="BD1038" s="116"/>
      <c r="BE1038" s="116"/>
      <c r="BF1038" s="116"/>
    </row>
    <row r="1039" spans="3:58" ht="19.5" x14ac:dyDescent="0.4">
      <c r="AX1039" s="26"/>
      <c r="AY1039" s="13"/>
      <c r="BC1039" s="117"/>
      <c r="BD1039" s="116"/>
      <c r="BE1039" s="116"/>
      <c r="BF1039" s="116"/>
    </row>
    <row r="1040" spans="3:58" ht="19.5" x14ac:dyDescent="0.4">
      <c r="AD1040" s="115"/>
      <c r="AE1040" s="115"/>
      <c r="AF1040" s="115"/>
      <c r="AG1040" s="122"/>
      <c r="AH1040" s="122"/>
      <c r="AI1040" s="122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15"/>
      <c r="AU1040" s="115"/>
      <c r="AV1040" s="115"/>
      <c r="AW1040" s="115"/>
      <c r="AX1040" s="26"/>
      <c r="AY1040" s="13"/>
      <c r="BC1040" s="117"/>
      <c r="BD1040" s="116"/>
      <c r="BE1040" s="116"/>
      <c r="BF1040" s="116"/>
    </row>
    <row r="1041" spans="1:58" ht="19.5" x14ac:dyDescent="0.4"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22"/>
      <c r="AH1041" s="122"/>
      <c r="AI1041" s="122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15"/>
      <c r="AU1041" s="115"/>
      <c r="AV1041" s="115"/>
      <c r="AW1041" s="115"/>
      <c r="AX1041" s="26"/>
      <c r="AY1041" s="13"/>
      <c r="BC1041" s="117"/>
      <c r="BD1041" s="116"/>
      <c r="BE1041" s="116"/>
      <c r="BF1041" s="116"/>
    </row>
    <row r="1042" spans="1:58" ht="19.5" x14ac:dyDescent="0.4"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22"/>
      <c r="AH1042" s="122"/>
      <c r="AI1042" s="122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15"/>
      <c r="AU1042" s="115"/>
      <c r="AV1042" s="115"/>
      <c r="AW1042" s="115"/>
      <c r="AX1042" s="17"/>
      <c r="AY1042" s="13"/>
      <c r="BC1042" s="117"/>
      <c r="BD1042" s="116"/>
      <c r="BE1042" s="116"/>
      <c r="BF1042" s="116"/>
    </row>
    <row r="1043" spans="1:58" ht="19.5" x14ac:dyDescent="0.4"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22"/>
      <c r="AH1043" s="122"/>
      <c r="AI1043" s="122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15"/>
      <c r="AU1043" s="115"/>
      <c r="AV1043" s="115"/>
      <c r="AW1043" s="115"/>
      <c r="AX1043" s="26"/>
      <c r="AY1043" s="25"/>
      <c r="BC1043" s="117"/>
      <c r="BD1043" s="116"/>
      <c r="BE1043" s="116"/>
      <c r="BF1043" s="116"/>
    </row>
    <row r="1044" spans="1:58" ht="19.5" x14ac:dyDescent="0.4"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22"/>
      <c r="AH1044" s="122"/>
      <c r="AI1044" s="122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15"/>
      <c r="AU1044" s="115"/>
      <c r="AV1044" s="115"/>
      <c r="AW1044" s="115"/>
      <c r="AX1044" s="17"/>
      <c r="AY1044" s="13"/>
      <c r="BC1044" s="117"/>
      <c r="BD1044" s="116"/>
      <c r="BE1044" s="116"/>
      <c r="BF1044" s="116"/>
    </row>
    <row r="1045" spans="1:58" ht="19.5" x14ac:dyDescent="0.4"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22"/>
      <c r="AH1045" s="122"/>
      <c r="AI1045" s="122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15"/>
      <c r="AU1045" s="115"/>
      <c r="AV1045" s="115"/>
      <c r="AW1045" s="115"/>
      <c r="AX1045" s="26"/>
      <c r="AY1045" s="13"/>
      <c r="BC1045" s="117"/>
      <c r="BD1045" s="116"/>
      <c r="BE1045" s="116"/>
      <c r="BF1045" s="116"/>
    </row>
    <row r="1046" spans="1:58" ht="19.5" x14ac:dyDescent="0.4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22"/>
      <c r="AH1046" s="122"/>
      <c r="AI1046" s="122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15"/>
      <c r="AU1046" s="115"/>
      <c r="AV1046" s="115"/>
      <c r="AW1046" s="115"/>
      <c r="AX1046" s="26"/>
      <c r="AY1046" s="13"/>
      <c r="BC1046" s="117"/>
      <c r="BD1046" s="116"/>
      <c r="BE1046" s="116"/>
      <c r="BF1046" s="116"/>
    </row>
    <row r="1047" spans="1:58" ht="19.5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22"/>
      <c r="AH1047" s="122"/>
      <c r="AI1047" s="122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15"/>
      <c r="AU1047" s="115"/>
      <c r="AV1047" s="115"/>
      <c r="AW1047" s="115"/>
      <c r="AX1047" s="26"/>
      <c r="AY1047" s="13"/>
      <c r="BC1047" s="117"/>
      <c r="BD1047" s="116"/>
      <c r="BE1047" s="116"/>
      <c r="BF1047" s="116"/>
    </row>
    <row r="1048" spans="1:58" ht="19.5" x14ac:dyDescent="0.4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22"/>
      <c r="AH1048" s="122"/>
      <c r="AI1048" s="122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15"/>
      <c r="AU1048" s="115"/>
      <c r="AV1048" s="115"/>
      <c r="AW1048" s="115"/>
      <c r="AX1048" s="26"/>
      <c r="AY1048" s="13"/>
      <c r="BC1048" s="117"/>
      <c r="BD1048" s="116"/>
      <c r="BE1048" s="116"/>
      <c r="BF1048" s="116"/>
    </row>
    <row r="1049" spans="1:58" ht="19.5" x14ac:dyDescent="0.4">
      <c r="A1049" s="115"/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22"/>
      <c r="AH1049" s="122"/>
      <c r="AI1049" s="122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15"/>
      <c r="AU1049" s="115"/>
      <c r="AV1049" s="115"/>
      <c r="AW1049" s="115"/>
      <c r="AX1049" s="26"/>
      <c r="AY1049" s="13"/>
      <c r="BC1049" s="117"/>
      <c r="BD1049" s="116"/>
      <c r="BE1049" s="116"/>
      <c r="BF1049" s="116"/>
    </row>
    <row r="1050" spans="1:58" ht="19.5" x14ac:dyDescent="0.4">
      <c r="A1050" s="115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22"/>
      <c r="AH1050" s="122"/>
      <c r="AI1050" s="122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15"/>
      <c r="AU1050" s="115"/>
      <c r="AV1050" s="115"/>
      <c r="AW1050" s="115"/>
      <c r="AX1050" s="26"/>
      <c r="AY1050" s="13"/>
      <c r="BC1050" s="117"/>
      <c r="BD1050" s="116"/>
      <c r="BE1050" s="116"/>
      <c r="BF1050" s="116"/>
    </row>
    <row r="1051" spans="1:58" ht="19.5" x14ac:dyDescent="0.4">
      <c r="A1051" s="115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22"/>
      <c r="AH1051" s="122"/>
      <c r="AI1051" s="122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15"/>
      <c r="AU1051" s="115"/>
      <c r="AV1051" s="115"/>
      <c r="AW1051" s="115"/>
      <c r="AX1051" s="26"/>
      <c r="AY1051" s="13"/>
      <c r="BC1051" s="117"/>
      <c r="BD1051" s="116"/>
      <c r="BE1051" s="116"/>
      <c r="BF1051" s="116"/>
    </row>
    <row r="1052" spans="1:58" ht="19.5" x14ac:dyDescent="0.4">
      <c r="A1052" s="115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22"/>
      <c r="AH1052" s="122"/>
      <c r="AI1052" s="122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15"/>
      <c r="AU1052" s="115"/>
      <c r="AV1052" s="115"/>
      <c r="AW1052" s="115"/>
      <c r="AX1052" s="26"/>
      <c r="AY1052" s="13"/>
      <c r="BC1052" s="117"/>
      <c r="BD1052" s="116"/>
      <c r="BE1052" s="116"/>
      <c r="BF1052" s="116"/>
    </row>
    <row r="1053" spans="1:58" ht="19.5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22"/>
      <c r="AH1053" s="122"/>
      <c r="AI1053" s="122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15"/>
      <c r="AU1053" s="115"/>
      <c r="AV1053" s="115"/>
      <c r="AW1053" s="115"/>
      <c r="AX1053" s="26"/>
      <c r="AY1053" s="15"/>
      <c r="BC1053" s="117"/>
      <c r="BD1053" s="116"/>
      <c r="BE1053" s="116"/>
      <c r="BF1053" s="116"/>
    </row>
    <row r="1054" spans="1:58" ht="19.5" x14ac:dyDescent="0.4">
      <c r="A1054" s="115"/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22"/>
      <c r="AH1054" s="122"/>
      <c r="AI1054" s="122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15"/>
      <c r="AU1054" s="115"/>
      <c r="AV1054" s="115"/>
      <c r="AW1054" s="115"/>
      <c r="AX1054" s="26"/>
      <c r="AY1054" s="15"/>
      <c r="BC1054" s="117"/>
      <c r="BD1054" s="116"/>
      <c r="BE1054" s="116"/>
      <c r="BF1054" s="116"/>
    </row>
    <row r="1055" spans="1:58" ht="19.5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22"/>
      <c r="AH1055" s="122"/>
      <c r="AI1055" s="122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15"/>
      <c r="AU1055" s="115"/>
      <c r="AV1055" s="115"/>
      <c r="AW1055" s="115"/>
      <c r="AX1055" s="26"/>
      <c r="AY1055" s="15"/>
      <c r="BC1055" s="117"/>
      <c r="BD1055" s="116"/>
      <c r="BE1055" s="116"/>
      <c r="BF1055" s="116"/>
    </row>
    <row r="1056" spans="1:58" ht="19.5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22"/>
      <c r="AH1056" s="122"/>
      <c r="AI1056" s="122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15"/>
      <c r="AU1056" s="115"/>
      <c r="AV1056" s="115"/>
      <c r="AW1056" s="115"/>
      <c r="AX1056" s="26"/>
      <c r="AY1056" s="15"/>
      <c r="BC1056" s="117"/>
      <c r="BD1056" s="116"/>
      <c r="BE1056" s="116"/>
      <c r="BF1056" s="116"/>
    </row>
    <row r="1057" spans="1:58" ht="19.5" x14ac:dyDescent="0.4">
      <c r="A1057" s="115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22"/>
      <c r="AH1057" s="122"/>
      <c r="AI1057" s="122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15"/>
      <c r="AU1057" s="115"/>
      <c r="AV1057" s="115"/>
      <c r="AW1057" s="115"/>
      <c r="AX1057" s="26"/>
      <c r="AY1057" s="25"/>
      <c r="BC1057" s="117"/>
      <c r="BD1057" s="116"/>
      <c r="BE1057" s="116"/>
      <c r="BF1057" s="116"/>
    </row>
    <row r="1058" spans="1:58" ht="19.5" x14ac:dyDescent="0.4">
      <c r="AX1058" s="26"/>
      <c r="AY1058" s="15"/>
      <c r="BC1058" s="117"/>
      <c r="BD1058" s="116"/>
      <c r="BE1058" s="116"/>
      <c r="BF1058" s="116"/>
    </row>
    <row r="1059" spans="1:58" ht="19.5" x14ac:dyDescent="0.4">
      <c r="AF1059" s="115"/>
      <c r="AG1059" s="122"/>
      <c r="AH1059" s="122"/>
      <c r="AI1059" s="122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15"/>
      <c r="AU1059" s="115"/>
      <c r="AV1059" s="115"/>
      <c r="AW1059" s="115"/>
      <c r="AX1059" s="26"/>
      <c r="AY1059" s="15"/>
      <c r="BC1059" s="117"/>
      <c r="BD1059" s="116"/>
      <c r="BE1059" s="116"/>
      <c r="BF1059" s="116"/>
    </row>
    <row r="1060" spans="1:58" ht="19.5" x14ac:dyDescent="0.4">
      <c r="AD1060" s="115"/>
      <c r="AE1060" s="115"/>
      <c r="AF1060" s="115"/>
      <c r="AG1060" s="122"/>
      <c r="AH1060" s="122"/>
      <c r="AI1060" s="122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15"/>
      <c r="AU1060" s="115"/>
      <c r="AV1060" s="115"/>
      <c r="AW1060" s="115"/>
      <c r="AX1060" s="26"/>
      <c r="AY1060" s="15"/>
      <c r="BC1060" s="117"/>
      <c r="BD1060" s="116"/>
      <c r="BE1060" s="116"/>
      <c r="BF1060" s="116"/>
    </row>
    <row r="1061" spans="1:58" ht="19.5" x14ac:dyDescent="0.4">
      <c r="AD1061" s="115"/>
      <c r="AE1061" s="115"/>
      <c r="AF1061" s="115"/>
      <c r="AG1061" s="122"/>
      <c r="AH1061" s="122"/>
      <c r="AI1061" s="122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15"/>
      <c r="AU1061" s="115"/>
      <c r="AV1061" s="115"/>
      <c r="AW1061" s="115"/>
      <c r="AX1061" s="17"/>
      <c r="AY1061" s="15"/>
      <c r="BC1061" s="117"/>
      <c r="BD1061" s="116"/>
      <c r="BE1061" s="116"/>
      <c r="BF1061" s="116"/>
    </row>
    <row r="1062" spans="1:58" ht="19.5" x14ac:dyDescent="0.4">
      <c r="AA1062" s="115"/>
      <c r="AB1062" s="115"/>
      <c r="AC1062" s="115"/>
      <c r="AD1062" s="115"/>
      <c r="AE1062" s="115"/>
      <c r="AF1062" s="115"/>
      <c r="AG1062" s="122"/>
      <c r="AH1062" s="122"/>
      <c r="AI1062" s="122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15"/>
      <c r="AU1062" s="115"/>
      <c r="AV1062" s="115"/>
      <c r="AW1062" s="115"/>
      <c r="AX1062" s="26"/>
      <c r="AY1062" s="15"/>
      <c r="BC1062" s="117"/>
      <c r="BD1062" s="116"/>
      <c r="BE1062" s="116"/>
      <c r="BF1062" s="116"/>
    </row>
    <row r="1063" spans="1:58" ht="19.5" x14ac:dyDescent="0.4">
      <c r="AA1063" s="115"/>
      <c r="AB1063" s="115"/>
      <c r="AC1063" s="115"/>
      <c r="AD1063" s="115"/>
      <c r="AE1063" s="115"/>
      <c r="AF1063" s="115"/>
      <c r="AG1063" s="122"/>
      <c r="AH1063" s="122"/>
      <c r="AI1063" s="122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15"/>
      <c r="AU1063" s="115"/>
      <c r="AV1063" s="115"/>
      <c r="AW1063" s="115"/>
      <c r="AX1063" s="17"/>
      <c r="AY1063" s="15"/>
      <c r="BC1063" s="117"/>
      <c r="BD1063" s="116"/>
      <c r="BE1063" s="116"/>
      <c r="BF1063" s="116"/>
    </row>
    <row r="1064" spans="1:58" ht="19.5" x14ac:dyDescent="0.4">
      <c r="AA1064" s="115"/>
      <c r="AB1064" s="115"/>
      <c r="AC1064" s="115"/>
      <c r="AD1064" s="115"/>
      <c r="AE1064" s="115"/>
      <c r="AF1064" s="115"/>
      <c r="AG1064" s="122"/>
      <c r="AH1064" s="122"/>
      <c r="AI1064" s="122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15"/>
      <c r="AU1064" s="115"/>
      <c r="AV1064" s="115"/>
      <c r="AW1064" s="115"/>
      <c r="AX1064" s="26"/>
      <c r="AY1064" s="15"/>
      <c r="BC1064" s="117"/>
      <c r="BD1064" s="116"/>
      <c r="BE1064" s="116"/>
      <c r="BF1064" s="116"/>
    </row>
    <row r="1065" spans="1:58" ht="19.5" x14ac:dyDescent="0.4">
      <c r="AA1065" s="115"/>
      <c r="AB1065" s="115"/>
      <c r="AC1065" s="115"/>
      <c r="AD1065" s="115"/>
      <c r="AE1065" s="115"/>
      <c r="AF1065" s="115"/>
      <c r="AG1065" s="122"/>
      <c r="AH1065" s="122"/>
      <c r="AI1065" s="122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15"/>
      <c r="AU1065" s="115"/>
      <c r="AV1065" s="115"/>
      <c r="AW1065" s="115"/>
      <c r="AX1065" s="17"/>
      <c r="AY1065" s="13"/>
      <c r="BC1065" s="117"/>
      <c r="BD1065" s="116"/>
      <c r="BE1065" s="116"/>
      <c r="BF1065" s="116"/>
    </row>
    <row r="1066" spans="1:58" ht="19.5" x14ac:dyDescent="0.4">
      <c r="AA1066" s="115"/>
      <c r="AB1066" s="115"/>
      <c r="AC1066" s="115"/>
      <c r="AD1066" s="115"/>
      <c r="AE1066" s="115"/>
      <c r="AF1066" s="115"/>
      <c r="AG1066" s="122"/>
      <c r="AH1066" s="122"/>
      <c r="AI1066" s="122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15"/>
      <c r="AU1066" s="115"/>
      <c r="AV1066" s="115"/>
      <c r="AW1066" s="115"/>
      <c r="AX1066" s="17"/>
      <c r="AY1066" s="13"/>
      <c r="BC1066" s="117"/>
      <c r="BD1066" s="116"/>
      <c r="BE1066" s="116"/>
      <c r="BF1066" s="116"/>
    </row>
    <row r="1067" spans="1:58" ht="19.5" x14ac:dyDescent="0.4">
      <c r="AX1067" s="26"/>
      <c r="AY1067" s="13"/>
      <c r="BC1067" s="117"/>
      <c r="BD1067" s="116"/>
      <c r="BE1067" s="116"/>
      <c r="BF1067" s="116"/>
    </row>
    <row r="1068" spans="1:58" ht="19.5" x14ac:dyDescent="0.4">
      <c r="AF1068" s="115"/>
      <c r="AG1068" s="122"/>
      <c r="AH1068" s="122"/>
      <c r="AI1068" s="122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115"/>
      <c r="AU1068" s="115"/>
      <c r="AV1068" s="115"/>
      <c r="AW1068" s="115"/>
      <c r="AX1068" s="17"/>
      <c r="AY1068" s="13"/>
      <c r="BC1068" s="117"/>
      <c r="BD1068" s="116"/>
      <c r="BE1068" s="116"/>
      <c r="BF1068" s="116"/>
    </row>
    <row r="1069" spans="1:58" ht="19.5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22"/>
      <c r="AH1069" s="122"/>
      <c r="AI1069" s="122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115"/>
      <c r="AU1069" s="115"/>
      <c r="AV1069" s="115"/>
      <c r="AW1069" s="115"/>
      <c r="AX1069" s="26"/>
      <c r="AY1069" s="13"/>
      <c r="BC1069" s="117"/>
      <c r="BD1069" s="116"/>
      <c r="BE1069" s="116"/>
      <c r="BF1069" s="116"/>
    </row>
    <row r="1070" spans="1:58" ht="19.5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22"/>
      <c r="AH1070" s="122"/>
      <c r="AI1070" s="122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15"/>
      <c r="AU1070" s="115"/>
      <c r="AV1070" s="115"/>
      <c r="AW1070" s="115"/>
      <c r="AX1070" s="26"/>
      <c r="AY1070" s="13"/>
      <c r="BC1070" s="117"/>
      <c r="BD1070" s="116"/>
      <c r="BE1070" s="116"/>
      <c r="BF1070" s="116"/>
    </row>
    <row r="1071" spans="1:58" ht="19.5" x14ac:dyDescent="0.4">
      <c r="A1071" s="115"/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22"/>
      <c r="AH1071" s="122"/>
      <c r="AI1071" s="122"/>
      <c r="AJ1071" s="115"/>
      <c r="AK1071" s="115"/>
      <c r="AL1071" s="115"/>
      <c r="AM1071" s="115"/>
      <c r="AN1071" s="115"/>
      <c r="AO1071" s="115"/>
      <c r="AP1071" s="115"/>
      <c r="AQ1071" s="115"/>
      <c r="AR1071" s="115"/>
      <c r="AS1071" s="115"/>
      <c r="AT1071" s="115"/>
      <c r="AU1071" s="115"/>
      <c r="AV1071" s="115"/>
      <c r="AW1071" s="115"/>
      <c r="AX1071" s="26"/>
      <c r="AY1071" s="13"/>
      <c r="BC1071" s="117"/>
      <c r="BD1071" s="116"/>
      <c r="BE1071" s="116"/>
      <c r="BF1071" s="116"/>
    </row>
    <row r="1072" spans="1:58" ht="19.5" x14ac:dyDescent="0.4">
      <c r="A1072" s="115"/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22"/>
      <c r="AH1072" s="122"/>
      <c r="AI1072" s="122"/>
      <c r="AJ1072" s="115"/>
      <c r="AK1072" s="115"/>
      <c r="AL1072" s="115"/>
      <c r="AM1072" s="115"/>
      <c r="AN1072" s="115"/>
      <c r="AO1072" s="115"/>
      <c r="AP1072" s="115"/>
      <c r="AQ1072" s="115"/>
      <c r="AR1072" s="115"/>
      <c r="AS1072" s="115"/>
      <c r="AT1072" s="115"/>
      <c r="AU1072" s="115"/>
      <c r="AV1072" s="115"/>
      <c r="AW1072" s="115"/>
      <c r="AX1072" s="26"/>
      <c r="AY1072" s="13"/>
      <c r="BC1072" s="117"/>
      <c r="BD1072" s="116"/>
      <c r="BE1072" s="116"/>
      <c r="BF1072" s="116"/>
    </row>
    <row r="1073" spans="1:58" ht="19.5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22"/>
      <c r="AH1073" s="122"/>
      <c r="AI1073" s="122"/>
      <c r="AJ1073" s="115"/>
      <c r="AK1073" s="115"/>
      <c r="AL1073" s="115"/>
      <c r="AM1073" s="115"/>
      <c r="AN1073" s="115"/>
      <c r="AO1073" s="115"/>
      <c r="AP1073" s="115"/>
      <c r="AQ1073" s="115"/>
      <c r="AR1073" s="115"/>
      <c r="AS1073" s="115"/>
      <c r="AT1073" s="115"/>
      <c r="AU1073" s="115"/>
      <c r="AV1073" s="115"/>
      <c r="AW1073" s="115"/>
      <c r="AX1073" s="17"/>
      <c r="AY1073" s="13"/>
      <c r="BC1073" s="117"/>
      <c r="BD1073" s="116"/>
      <c r="BE1073" s="116"/>
      <c r="BF1073" s="116"/>
    </row>
    <row r="1074" spans="1:58" ht="19.5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22"/>
      <c r="AH1074" s="122"/>
      <c r="AI1074" s="122"/>
      <c r="AJ1074" s="115"/>
      <c r="AK1074" s="115"/>
      <c r="AL1074" s="115"/>
      <c r="AM1074" s="115"/>
      <c r="AN1074" s="115"/>
      <c r="AO1074" s="115"/>
      <c r="AP1074" s="115"/>
      <c r="AQ1074" s="115"/>
      <c r="AR1074" s="115"/>
      <c r="AS1074" s="115"/>
      <c r="AT1074" s="115"/>
      <c r="AU1074" s="115"/>
      <c r="AV1074" s="115"/>
      <c r="AW1074" s="115"/>
      <c r="AX1074" s="26"/>
      <c r="AY1074" s="13"/>
      <c r="BC1074" s="117"/>
      <c r="BD1074" s="116"/>
      <c r="BE1074" s="116"/>
      <c r="BF1074" s="116"/>
    </row>
    <row r="1075" spans="1:58" ht="19.5" x14ac:dyDescent="0.4">
      <c r="A1075" s="115"/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22"/>
      <c r="AH1075" s="122"/>
      <c r="AI1075" s="122"/>
      <c r="AJ1075" s="115"/>
      <c r="AK1075" s="115"/>
      <c r="AL1075" s="115"/>
      <c r="AM1075" s="115"/>
      <c r="AN1075" s="115"/>
      <c r="AO1075" s="115"/>
      <c r="AP1075" s="115"/>
      <c r="AQ1075" s="115"/>
      <c r="AR1075" s="115"/>
      <c r="AS1075" s="115"/>
      <c r="AT1075" s="115"/>
      <c r="AU1075" s="115"/>
      <c r="AV1075" s="115"/>
      <c r="AW1075" s="115"/>
      <c r="AX1075" s="26"/>
      <c r="AY1075" s="15"/>
      <c r="BC1075" s="117"/>
      <c r="BD1075" s="116"/>
      <c r="BE1075" s="116"/>
      <c r="BF1075" s="116"/>
    </row>
    <row r="1076" spans="1:58" ht="19.5" x14ac:dyDescent="0.4">
      <c r="AX1076" s="26"/>
      <c r="AY1076" s="15"/>
      <c r="BC1076" s="117"/>
      <c r="BD1076" s="116"/>
      <c r="BE1076" s="116"/>
      <c r="BF1076" s="116"/>
    </row>
    <row r="1077" spans="1:58" ht="19.5" x14ac:dyDescent="0.4">
      <c r="AE1077" s="115"/>
      <c r="AF1077" s="115"/>
      <c r="AG1077" s="122"/>
      <c r="AH1077" s="122"/>
      <c r="AI1077" s="122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115"/>
      <c r="AT1077" s="115"/>
      <c r="AU1077" s="115"/>
      <c r="AV1077" s="115"/>
      <c r="AW1077" s="115"/>
      <c r="AX1077" s="26"/>
      <c r="AY1077" s="13"/>
      <c r="BC1077" s="117"/>
      <c r="BD1077" s="116"/>
      <c r="BE1077" s="116"/>
      <c r="BF1077" s="116"/>
    </row>
    <row r="1078" spans="1:58" ht="19.5" x14ac:dyDescent="0.4">
      <c r="AC1078" s="115"/>
      <c r="AD1078" s="115"/>
      <c r="AE1078" s="115"/>
      <c r="AF1078" s="115"/>
      <c r="AG1078" s="122"/>
      <c r="AH1078" s="122"/>
      <c r="AI1078" s="122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15"/>
      <c r="AU1078" s="115"/>
      <c r="AV1078" s="115"/>
      <c r="AW1078" s="115"/>
      <c r="AX1078" s="26"/>
      <c r="AY1078" s="15"/>
      <c r="BC1078" s="117"/>
      <c r="BD1078" s="116"/>
      <c r="BE1078" s="116"/>
      <c r="BF1078" s="116"/>
    </row>
    <row r="1079" spans="1:58" ht="19.5" x14ac:dyDescent="0.4">
      <c r="AC1079" s="115"/>
      <c r="AD1079" s="115"/>
      <c r="AE1079" s="115"/>
      <c r="AF1079" s="115"/>
      <c r="AG1079" s="122"/>
      <c r="AH1079" s="122"/>
      <c r="AI1079" s="122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15"/>
      <c r="AU1079" s="115"/>
      <c r="AV1079" s="115"/>
      <c r="AW1079" s="115"/>
      <c r="AX1079" s="26"/>
      <c r="AY1079" s="15"/>
      <c r="BC1079" s="117"/>
      <c r="BD1079" s="116"/>
      <c r="BE1079" s="116"/>
      <c r="BF1079" s="116"/>
    </row>
    <row r="1080" spans="1:58" ht="19.5" x14ac:dyDescent="0.4">
      <c r="AC1080" s="115"/>
      <c r="AD1080" s="115"/>
      <c r="AE1080" s="115"/>
      <c r="AF1080" s="115"/>
      <c r="AG1080" s="122"/>
      <c r="AH1080" s="122"/>
      <c r="AI1080" s="122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115"/>
      <c r="AT1080" s="115"/>
      <c r="AU1080" s="115"/>
      <c r="AV1080" s="115"/>
      <c r="AW1080" s="115"/>
      <c r="AX1080" s="17"/>
      <c r="AY1080" s="15"/>
      <c r="BC1080" s="117"/>
      <c r="BD1080" s="116"/>
      <c r="BE1080" s="116"/>
      <c r="BF1080" s="116"/>
    </row>
    <row r="1081" spans="1:58" ht="19.5" x14ac:dyDescent="0.4">
      <c r="AB1081" s="115"/>
      <c r="AC1081" s="115"/>
      <c r="AD1081" s="115"/>
      <c r="AE1081" s="115"/>
      <c r="AF1081" s="115"/>
      <c r="AG1081" s="122"/>
      <c r="AH1081" s="122"/>
      <c r="AI1081" s="122"/>
      <c r="AJ1081" s="115"/>
      <c r="AK1081" s="115"/>
      <c r="AL1081" s="115"/>
      <c r="AM1081" s="115"/>
      <c r="AN1081" s="115"/>
      <c r="AO1081" s="115"/>
      <c r="AP1081" s="115"/>
      <c r="AQ1081" s="115"/>
      <c r="AR1081" s="115"/>
      <c r="AS1081" s="115"/>
      <c r="AT1081" s="115"/>
      <c r="AU1081" s="115"/>
      <c r="AV1081" s="115"/>
      <c r="AW1081" s="115"/>
      <c r="AX1081" s="26"/>
      <c r="AY1081" s="15"/>
      <c r="BC1081" s="117"/>
      <c r="BD1081" s="116"/>
      <c r="BE1081" s="116"/>
      <c r="BF1081" s="116"/>
    </row>
    <row r="1082" spans="1:58" ht="19.5" x14ac:dyDescent="0.4">
      <c r="AB1082" s="115"/>
      <c r="AC1082" s="115"/>
      <c r="AD1082" s="115"/>
      <c r="AE1082" s="115"/>
      <c r="AF1082" s="115"/>
      <c r="AG1082" s="122"/>
      <c r="AH1082" s="122"/>
      <c r="AI1082" s="122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115"/>
      <c r="AT1082" s="115"/>
      <c r="AU1082" s="115"/>
      <c r="AV1082" s="115"/>
      <c r="AW1082" s="115"/>
      <c r="AX1082" s="26"/>
      <c r="AY1082" s="15"/>
      <c r="BC1082" s="117"/>
      <c r="BD1082" s="116"/>
      <c r="BE1082" s="116"/>
      <c r="BF1082" s="116"/>
    </row>
    <row r="1083" spans="1:58" ht="19.5" x14ac:dyDescent="0.4">
      <c r="AB1083" s="115"/>
      <c r="AC1083" s="115"/>
      <c r="AD1083" s="115"/>
      <c r="AE1083" s="115"/>
      <c r="AF1083" s="115"/>
      <c r="AG1083" s="122"/>
      <c r="AH1083" s="122"/>
      <c r="AI1083" s="122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115"/>
      <c r="AW1083" s="115"/>
      <c r="AX1083" s="26"/>
      <c r="AY1083" s="105"/>
      <c r="BC1083" s="117"/>
      <c r="BD1083" s="116"/>
      <c r="BE1083" s="116"/>
      <c r="BF1083" s="116"/>
    </row>
    <row r="1084" spans="1:58" ht="19.5" x14ac:dyDescent="0.4">
      <c r="AB1084" s="115"/>
      <c r="AC1084" s="115"/>
      <c r="AD1084" s="115"/>
      <c r="AE1084" s="115"/>
      <c r="AF1084" s="115"/>
      <c r="AG1084" s="122"/>
      <c r="AH1084" s="122"/>
      <c r="AI1084" s="122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15"/>
      <c r="AT1084" s="115"/>
      <c r="AU1084" s="115"/>
      <c r="AV1084" s="115"/>
      <c r="AW1084" s="115"/>
      <c r="AX1084" s="17"/>
      <c r="AY1084" s="15"/>
      <c r="BC1084" s="117"/>
      <c r="BD1084" s="116"/>
      <c r="BE1084" s="116"/>
      <c r="BF1084" s="116"/>
    </row>
    <row r="1085" spans="1:58" ht="19.5" x14ac:dyDescent="0.4">
      <c r="AB1085" s="115"/>
      <c r="AC1085" s="115"/>
      <c r="AD1085" s="115"/>
      <c r="AE1085" s="115"/>
      <c r="AF1085" s="115"/>
      <c r="AG1085" s="122"/>
      <c r="AH1085" s="122"/>
      <c r="AI1085" s="122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15"/>
      <c r="AU1085" s="115"/>
      <c r="AV1085" s="115"/>
      <c r="AW1085" s="115"/>
      <c r="AX1085" s="26"/>
      <c r="AY1085" s="15"/>
      <c r="BC1085" s="117"/>
      <c r="BD1085" s="116"/>
      <c r="BE1085" s="116"/>
      <c r="BF1085" s="116"/>
    </row>
    <row r="1086" spans="1:58" ht="19.5" x14ac:dyDescent="0.4">
      <c r="AB1086" s="115"/>
      <c r="AC1086" s="115"/>
      <c r="AD1086" s="115"/>
      <c r="AE1086" s="115"/>
      <c r="AF1086" s="115"/>
      <c r="AG1086" s="122"/>
      <c r="AH1086" s="122"/>
      <c r="AI1086" s="122"/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115"/>
      <c r="AT1086" s="115"/>
      <c r="AU1086" s="115"/>
      <c r="AV1086" s="115"/>
      <c r="AW1086" s="115"/>
      <c r="AX1086" s="17"/>
      <c r="AY1086" s="15"/>
      <c r="BC1086" s="117"/>
      <c r="BD1086" s="116"/>
      <c r="BE1086" s="116"/>
      <c r="BF1086" s="116"/>
    </row>
    <row r="1087" spans="1:58" ht="19.5" x14ac:dyDescent="0.4"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22"/>
      <c r="AH1087" s="122"/>
      <c r="AI1087" s="122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115"/>
      <c r="AT1087" s="115"/>
      <c r="AU1087" s="115"/>
      <c r="AV1087" s="115"/>
      <c r="AW1087" s="115"/>
      <c r="AX1087" s="26"/>
      <c r="AY1087" s="15"/>
      <c r="BC1087" s="117"/>
      <c r="BD1087" s="116"/>
      <c r="BE1087" s="116"/>
      <c r="BF1087" s="116"/>
    </row>
    <row r="1088" spans="1:58" ht="19.5" x14ac:dyDescent="0.4"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22"/>
      <c r="AH1088" s="122"/>
      <c r="AI1088" s="122"/>
      <c r="AJ1088" s="115"/>
      <c r="AK1088" s="115"/>
      <c r="AL1088" s="115"/>
      <c r="AM1088" s="115"/>
      <c r="AN1088" s="115"/>
      <c r="AO1088" s="115"/>
      <c r="AP1088" s="115"/>
      <c r="AQ1088" s="115"/>
      <c r="AR1088" s="115"/>
      <c r="AS1088" s="115"/>
      <c r="AT1088" s="115"/>
      <c r="AU1088" s="115"/>
      <c r="AV1088" s="115"/>
      <c r="AW1088" s="115"/>
      <c r="AX1088" s="17"/>
      <c r="AY1088" s="15"/>
      <c r="BC1088" s="117"/>
      <c r="BD1088" s="116"/>
      <c r="BE1088" s="116"/>
      <c r="BF1088" s="116"/>
    </row>
    <row r="1089" spans="1:58" ht="19.5" x14ac:dyDescent="0.4"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22"/>
      <c r="AH1089" s="122"/>
      <c r="AI1089" s="122"/>
      <c r="AJ1089" s="115"/>
      <c r="AK1089" s="115"/>
      <c r="AL1089" s="115"/>
      <c r="AM1089" s="115"/>
      <c r="AN1089" s="115"/>
      <c r="AO1089" s="115"/>
      <c r="AP1089" s="115"/>
      <c r="AQ1089" s="115"/>
      <c r="AR1089" s="115"/>
      <c r="AS1089" s="115"/>
      <c r="AT1089" s="115"/>
      <c r="AU1089" s="115"/>
      <c r="AV1089" s="115"/>
      <c r="AW1089" s="115"/>
      <c r="AX1089" s="26"/>
      <c r="AY1089" s="15"/>
      <c r="BC1089" s="117"/>
      <c r="BD1089" s="116"/>
      <c r="BE1089" s="116"/>
      <c r="BF1089" s="116"/>
    </row>
    <row r="1090" spans="1:58" ht="19.5" x14ac:dyDescent="0.4"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22"/>
      <c r="AH1090" s="122"/>
      <c r="AI1090" s="122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15"/>
      <c r="AU1090" s="115"/>
      <c r="AV1090" s="115"/>
      <c r="AW1090" s="115"/>
      <c r="AX1090" s="17"/>
      <c r="AY1090" s="15"/>
      <c r="BC1090" s="117"/>
      <c r="BD1090" s="116"/>
      <c r="BE1090" s="116"/>
      <c r="BF1090" s="116"/>
    </row>
    <row r="1091" spans="1:58" ht="19.5" x14ac:dyDescent="0.4">
      <c r="A1091" s="115"/>
      <c r="B1091" s="115"/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22"/>
      <c r="AH1091" s="122"/>
      <c r="AI1091" s="122"/>
      <c r="AJ1091" s="115"/>
      <c r="AK1091" s="115"/>
      <c r="AL1091" s="115"/>
      <c r="AM1091" s="115"/>
      <c r="AN1091" s="115"/>
      <c r="AO1091" s="115"/>
      <c r="AP1091" s="115"/>
      <c r="AQ1091" s="115"/>
      <c r="AR1091" s="115"/>
      <c r="AS1091" s="115"/>
      <c r="AT1091" s="115"/>
      <c r="AU1091" s="115"/>
      <c r="AV1091" s="115"/>
      <c r="AW1091" s="115"/>
      <c r="AX1091" s="26"/>
      <c r="AY1091" s="15"/>
      <c r="BC1091" s="117"/>
      <c r="BD1091" s="116"/>
      <c r="BE1091" s="116"/>
      <c r="BF1091" s="116"/>
    </row>
    <row r="1092" spans="1:58" ht="19.5" x14ac:dyDescent="0.4">
      <c r="A1092" s="115"/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22"/>
      <c r="AH1092" s="122"/>
      <c r="AI1092" s="122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15"/>
      <c r="AU1092" s="115"/>
      <c r="AV1092" s="115"/>
      <c r="AW1092" s="115"/>
      <c r="AX1092" s="26"/>
      <c r="AY1092" s="15"/>
      <c r="BC1092" s="117"/>
      <c r="BD1092" s="116"/>
      <c r="BE1092" s="116"/>
      <c r="BF1092" s="116"/>
    </row>
    <row r="1093" spans="1:58" ht="19.5" x14ac:dyDescent="0.4">
      <c r="A1093" s="115"/>
      <c r="B1093" s="115"/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22"/>
      <c r="AH1093" s="122"/>
      <c r="AI1093" s="122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115"/>
      <c r="AT1093" s="115"/>
      <c r="AU1093" s="115"/>
      <c r="AV1093" s="115"/>
      <c r="AW1093" s="115"/>
      <c r="AX1093" s="26"/>
      <c r="AY1093" s="15"/>
      <c r="BC1093" s="117"/>
      <c r="BD1093" s="116"/>
      <c r="BE1093" s="116"/>
      <c r="BF1093" s="116"/>
    </row>
    <row r="1094" spans="1:58" ht="19.5" x14ac:dyDescent="0.4">
      <c r="A1094" s="115"/>
      <c r="B1094" s="115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22"/>
      <c r="AH1094" s="122"/>
      <c r="AI1094" s="122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15"/>
      <c r="AU1094" s="115"/>
      <c r="AV1094" s="115"/>
      <c r="AW1094" s="115"/>
      <c r="AX1094" s="26"/>
      <c r="AY1094" s="15"/>
      <c r="BC1094" s="117"/>
      <c r="BD1094" s="116"/>
      <c r="BE1094" s="116"/>
      <c r="BF1094" s="116"/>
    </row>
    <row r="1095" spans="1:58" ht="19.5" x14ac:dyDescent="0.4">
      <c r="A1095" s="115"/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22"/>
      <c r="AH1095" s="122"/>
      <c r="AI1095" s="122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115"/>
      <c r="AW1095" s="115"/>
      <c r="AX1095" s="26"/>
      <c r="AY1095" s="15"/>
      <c r="BC1095" s="117"/>
      <c r="BD1095" s="116"/>
      <c r="BE1095" s="116"/>
      <c r="BF1095" s="116"/>
    </row>
    <row r="1096" spans="1:58" ht="19.5" x14ac:dyDescent="0.4">
      <c r="A1096" s="115"/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22"/>
      <c r="AH1096" s="122"/>
      <c r="AI1096" s="122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115"/>
      <c r="AT1096" s="115"/>
      <c r="AU1096" s="115"/>
      <c r="AV1096" s="115"/>
      <c r="AW1096" s="115"/>
      <c r="AX1096" s="26"/>
      <c r="AY1096" s="15"/>
      <c r="BC1096" s="117"/>
      <c r="BD1096" s="116"/>
      <c r="BE1096" s="116"/>
      <c r="BF1096" s="116"/>
    </row>
    <row r="1097" spans="1:58" ht="19.5" x14ac:dyDescent="0.4">
      <c r="A1097" s="115"/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22"/>
      <c r="AH1097" s="122"/>
      <c r="AI1097" s="122"/>
      <c r="AJ1097" s="115"/>
      <c r="AK1097" s="115"/>
      <c r="AL1097" s="115"/>
      <c r="AM1097" s="115"/>
      <c r="AN1097" s="115"/>
      <c r="AO1097" s="115"/>
      <c r="AP1097" s="115"/>
      <c r="AQ1097" s="115"/>
      <c r="AR1097" s="115"/>
      <c r="AS1097" s="115"/>
      <c r="AT1097" s="115"/>
      <c r="AU1097" s="115"/>
      <c r="AV1097" s="115"/>
      <c r="AW1097" s="115"/>
      <c r="AX1097" s="17"/>
      <c r="AY1097" s="15"/>
      <c r="BC1097" s="117"/>
      <c r="BD1097" s="116"/>
      <c r="BE1097" s="116"/>
      <c r="BF1097" s="116"/>
    </row>
    <row r="1098" spans="1:58" ht="19.5" x14ac:dyDescent="0.4">
      <c r="A1098" s="115"/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22"/>
      <c r="AH1098" s="122"/>
      <c r="AI1098" s="122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115"/>
      <c r="AV1098" s="115"/>
      <c r="AW1098" s="115"/>
      <c r="AX1098" s="26"/>
      <c r="AY1098" s="15"/>
      <c r="BC1098" s="117"/>
      <c r="BD1098" s="116"/>
      <c r="BE1098" s="116"/>
      <c r="BF1098" s="116"/>
    </row>
    <row r="1099" spans="1:58" ht="19.5" x14ac:dyDescent="0.4">
      <c r="A1099" s="115"/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22"/>
      <c r="AH1099" s="122"/>
      <c r="AI1099" s="122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15"/>
      <c r="AT1099" s="115"/>
      <c r="AU1099" s="115"/>
      <c r="AV1099" s="115"/>
      <c r="AW1099" s="115"/>
      <c r="AX1099" s="17"/>
      <c r="AY1099" s="15"/>
      <c r="BC1099" s="117"/>
      <c r="BD1099" s="116"/>
      <c r="BE1099" s="116"/>
      <c r="BF1099" s="116"/>
    </row>
    <row r="1100" spans="1:58" ht="19.5" x14ac:dyDescent="0.4">
      <c r="A1100" s="115"/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22"/>
      <c r="AH1100" s="122"/>
      <c r="AI1100" s="122"/>
      <c r="AJ1100" s="115"/>
      <c r="AK1100" s="115"/>
      <c r="AL1100" s="115"/>
      <c r="AM1100" s="115"/>
      <c r="AN1100" s="115"/>
      <c r="AO1100" s="115"/>
      <c r="AP1100" s="115"/>
      <c r="AQ1100" s="115"/>
      <c r="AR1100" s="115"/>
      <c r="AS1100" s="115"/>
      <c r="AT1100" s="115"/>
      <c r="AU1100" s="115"/>
      <c r="AV1100" s="115"/>
      <c r="AW1100" s="115"/>
      <c r="AX1100" s="26"/>
      <c r="AY1100" s="15"/>
      <c r="BC1100" s="117"/>
      <c r="BD1100" s="116"/>
      <c r="BE1100" s="116"/>
      <c r="BF1100" s="116"/>
    </row>
    <row r="1101" spans="1:58" ht="19.5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22"/>
      <c r="AH1101" s="122"/>
      <c r="AI1101" s="122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15"/>
      <c r="AU1101" s="115"/>
      <c r="AV1101" s="115"/>
      <c r="AW1101" s="115"/>
      <c r="AX1101" s="20"/>
      <c r="AY1101" s="15"/>
      <c r="BC1101" s="117"/>
      <c r="BD1101" s="116"/>
      <c r="BE1101" s="116"/>
      <c r="BF1101" s="116"/>
    </row>
    <row r="1102" spans="1:58" ht="19.5" x14ac:dyDescent="0.4">
      <c r="A1102" s="115"/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22"/>
      <c r="AH1102" s="122"/>
      <c r="AI1102" s="122"/>
      <c r="AJ1102" s="115"/>
      <c r="AK1102" s="115"/>
      <c r="AL1102" s="115"/>
      <c r="AM1102" s="115"/>
      <c r="AN1102" s="115"/>
      <c r="AO1102" s="115"/>
      <c r="AP1102" s="115"/>
      <c r="AQ1102" s="115"/>
      <c r="AR1102" s="115"/>
      <c r="AS1102" s="115"/>
      <c r="AT1102" s="115"/>
      <c r="AU1102" s="115"/>
      <c r="AV1102" s="115"/>
      <c r="AW1102" s="115"/>
      <c r="AX1102" s="20"/>
      <c r="AY1102" s="15"/>
      <c r="BC1102" s="117"/>
      <c r="BD1102" s="116"/>
      <c r="BE1102" s="116"/>
      <c r="BF1102" s="116"/>
    </row>
    <row r="1103" spans="1:58" ht="19.5" x14ac:dyDescent="0.4">
      <c r="A1103" s="115"/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22"/>
      <c r="AH1103" s="122"/>
      <c r="AI1103" s="122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20"/>
      <c r="AY1103" s="15"/>
      <c r="BC1103" s="117"/>
      <c r="BD1103" s="116"/>
      <c r="BE1103" s="116"/>
      <c r="BF1103" s="116"/>
    </row>
    <row r="1104" spans="1:58" ht="19.5" x14ac:dyDescent="0.4">
      <c r="A1104" s="115"/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22"/>
      <c r="AH1104" s="122"/>
      <c r="AI1104" s="122"/>
      <c r="AJ1104" s="115"/>
      <c r="AK1104" s="115"/>
      <c r="AL1104" s="115"/>
      <c r="AM1104" s="115"/>
      <c r="AN1104" s="115"/>
      <c r="AO1104" s="115"/>
      <c r="AP1104" s="115"/>
      <c r="AQ1104" s="115"/>
      <c r="AR1104" s="115"/>
      <c r="AS1104" s="115"/>
      <c r="AT1104" s="115"/>
      <c r="AU1104" s="115"/>
      <c r="AV1104" s="115"/>
      <c r="AW1104" s="115"/>
      <c r="AX1104" s="20"/>
      <c r="AY1104" s="15"/>
      <c r="BC1104" s="117"/>
      <c r="BD1104" s="116"/>
      <c r="BE1104" s="116"/>
      <c r="BF1104" s="116"/>
    </row>
    <row r="1105" spans="1:58" ht="19.5" x14ac:dyDescent="0.4">
      <c r="A1105" s="115"/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22"/>
      <c r="AH1105" s="122"/>
      <c r="AI1105" s="122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115"/>
      <c r="AT1105" s="115"/>
      <c r="AU1105" s="115"/>
      <c r="AV1105" s="115"/>
      <c r="AW1105" s="115"/>
      <c r="AX1105" s="25"/>
      <c r="AY1105" s="15"/>
      <c r="BC1105" s="117"/>
      <c r="BD1105" s="116"/>
      <c r="BE1105" s="116"/>
      <c r="BF1105" s="116"/>
    </row>
    <row r="1106" spans="1:58" ht="19.5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22"/>
      <c r="AH1106" s="122"/>
      <c r="AI1106" s="122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115"/>
      <c r="AT1106" s="115"/>
      <c r="AU1106" s="115"/>
      <c r="AV1106" s="115"/>
      <c r="AW1106" s="115"/>
      <c r="AX1106" s="13"/>
      <c r="AY1106" s="15"/>
      <c r="BC1106" s="117"/>
      <c r="BD1106" s="116"/>
      <c r="BE1106" s="116"/>
      <c r="BF1106" s="116"/>
    </row>
    <row r="1107" spans="1:58" ht="19.5" x14ac:dyDescent="0.4">
      <c r="AX1107" s="25"/>
      <c r="AY1107" s="15"/>
      <c r="BC1107" s="117"/>
      <c r="BD1107" s="116"/>
      <c r="BE1107" s="116"/>
      <c r="BF1107" s="116"/>
    </row>
    <row r="1108" spans="1:58" ht="19.5" x14ac:dyDescent="0.4">
      <c r="AD1108" s="115"/>
      <c r="AE1108" s="115"/>
      <c r="AF1108" s="115"/>
      <c r="AG1108" s="122"/>
      <c r="AH1108" s="122"/>
      <c r="AI1108" s="122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115"/>
      <c r="AT1108" s="115"/>
      <c r="AU1108" s="115"/>
      <c r="AV1108" s="115"/>
      <c r="AW1108" s="115"/>
      <c r="AX1108" s="13"/>
      <c r="AY1108" s="15"/>
      <c r="BC1108" s="117"/>
      <c r="BD1108" s="116"/>
      <c r="BE1108" s="116"/>
      <c r="BF1108" s="116"/>
    </row>
    <row r="1109" spans="1:58" ht="19.5" x14ac:dyDescent="0.4"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22"/>
      <c r="AH1109" s="122"/>
      <c r="AI1109" s="122"/>
      <c r="AJ1109" s="115"/>
      <c r="AK1109" s="115"/>
      <c r="AL1109" s="115"/>
      <c r="AM1109" s="115"/>
      <c r="AN1109" s="115"/>
      <c r="AO1109" s="115"/>
      <c r="AP1109" s="115"/>
      <c r="AQ1109" s="115"/>
      <c r="AR1109" s="115"/>
      <c r="AS1109" s="115"/>
      <c r="AT1109" s="115"/>
      <c r="AU1109" s="115"/>
      <c r="AV1109" s="115"/>
      <c r="AW1109" s="115"/>
      <c r="AX1109" s="25"/>
      <c r="AY1109" s="15"/>
      <c r="BC1109" s="117"/>
      <c r="BD1109" s="116"/>
      <c r="BE1109" s="116"/>
      <c r="BF1109" s="116"/>
    </row>
    <row r="1110" spans="1:58" ht="19.5" x14ac:dyDescent="0.4">
      <c r="A1110" s="115"/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22"/>
      <c r="AH1110" s="122"/>
      <c r="AI1110" s="122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15"/>
      <c r="AU1110" s="115"/>
      <c r="AV1110" s="115"/>
      <c r="AW1110" s="115"/>
      <c r="AX1110" s="25"/>
      <c r="AY1110" s="15"/>
      <c r="BC1110" s="117"/>
      <c r="BD1110" s="116"/>
      <c r="BE1110" s="116"/>
      <c r="BF1110" s="116"/>
    </row>
    <row r="1111" spans="1:58" ht="19.5" x14ac:dyDescent="0.4">
      <c r="A1111" s="115"/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22"/>
      <c r="AH1111" s="122"/>
      <c r="AI1111" s="122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15"/>
      <c r="AU1111" s="115"/>
      <c r="AV1111" s="115"/>
      <c r="AW1111" s="115"/>
      <c r="AX1111" s="13"/>
      <c r="AY1111" s="15"/>
      <c r="BC1111" s="117"/>
      <c r="BD1111" s="116"/>
      <c r="BE1111" s="116"/>
      <c r="BF1111" s="116"/>
    </row>
    <row r="1112" spans="1:58" ht="19.5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22"/>
      <c r="AH1112" s="122"/>
      <c r="AI1112" s="122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15"/>
      <c r="AU1112" s="115"/>
      <c r="AV1112" s="115"/>
      <c r="AW1112" s="115"/>
      <c r="AX1112" s="25"/>
      <c r="AY1112" s="15"/>
      <c r="BC1112" s="117"/>
      <c r="BD1112" s="116"/>
      <c r="BE1112" s="116"/>
      <c r="BF1112" s="116"/>
    </row>
    <row r="1113" spans="1:58" ht="19.5" x14ac:dyDescent="0.4">
      <c r="A1113" s="115"/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22"/>
      <c r="AH1113" s="122"/>
      <c r="AI1113" s="122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15"/>
      <c r="AU1113" s="115"/>
      <c r="AV1113" s="115"/>
      <c r="AW1113" s="115"/>
      <c r="AX1113" s="13"/>
      <c r="AY1113" s="15"/>
      <c r="BC1113" s="117"/>
      <c r="BD1113" s="116"/>
      <c r="BE1113" s="116"/>
      <c r="BF1113" s="116"/>
    </row>
    <row r="1114" spans="1:58" ht="19.5" x14ac:dyDescent="0.4">
      <c r="A1114" s="115"/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22"/>
      <c r="AH1114" s="122"/>
      <c r="AI1114" s="122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15"/>
      <c r="AU1114" s="115"/>
      <c r="AV1114" s="115"/>
      <c r="AW1114" s="115"/>
      <c r="AX1114" s="25"/>
      <c r="AY1114" s="15"/>
      <c r="BC1114" s="117"/>
      <c r="BD1114" s="116"/>
      <c r="BE1114" s="116"/>
      <c r="BF1114" s="116"/>
    </row>
    <row r="1115" spans="1:58" ht="19.5" x14ac:dyDescent="0.4">
      <c r="A1115" s="115"/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22"/>
      <c r="AH1115" s="122"/>
      <c r="AI1115" s="122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15"/>
      <c r="AU1115" s="115"/>
      <c r="AV1115" s="115"/>
      <c r="AW1115" s="115"/>
      <c r="AX1115" s="26"/>
      <c r="AY1115" s="15"/>
      <c r="BC1115" s="117"/>
      <c r="BD1115" s="116"/>
      <c r="BE1115" s="116"/>
      <c r="BF1115" s="116"/>
    </row>
    <row r="1116" spans="1:58" ht="19.5" x14ac:dyDescent="0.4">
      <c r="A1116" s="115"/>
      <c r="B1116" s="115"/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22"/>
      <c r="AH1116" s="122"/>
      <c r="AI1116" s="122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15"/>
      <c r="AU1116" s="115"/>
      <c r="AV1116" s="115"/>
      <c r="AW1116" s="115"/>
      <c r="AX1116" s="17"/>
      <c r="AY1116" s="13"/>
      <c r="BC1116" s="117"/>
      <c r="BD1116" s="116"/>
      <c r="BE1116" s="116"/>
      <c r="BF1116" s="116"/>
    </row>
    <row r="1117" spans="1:58" ht="19.5" x14ac:dyDescent="0.4">
      <c r="A1117" s="115"/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22"/>
      <c r="AH1117" s="122"/>
      <c r="AI1117" s="122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115"/>
      <c r="AW1117" s="115"/>
      <c r="AX1117" s="26"/>
      <c r="AY1117" s="13"/>
      <c r="BC1117" s="117"/>
      <c r="BD1117" s="116"/>
      <c r="BE1117" s="116"/>
      <c r="BF1117" s="116"/>
    </row>
    <row r="1118" spans="1:58" ht="19.5" x14ac:dyDescent="0.4">
      <c r="A1118" s="115"/>
      <c r="B1118" s="115"/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22"/>
      <c r="AH1118" s="122"/>
      <c r="AI1118" s="122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115"/>
      <c r="AV1118" s="115"/>
      <c r="AW1118" s="115"/>
      <c r="AX1118" s="17"/>
      <c r="AY1118" s="13"/>
      <c r="BC1118" s="117"/>
      <c r="BD1118" s="116"/>
      <c r="BE1118" s="116"/>
      <c r="BF1118" s="116"/>
    </row>
    <row r="1119" spans="1:58" ht="19.5" x14ac:dyDescent="0.4">
      <c r="A1119" s="115"/>
      <c r="B1119" s="115"/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22"/>
      <c r="AH1119" s="122"/>
      <c r="AI1119" s="122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115"/>
      <c r="AT1119" s="115"/>
      <c r="AU1119" s="115"/>
      <c r="AV1119" s="115"/>
      <c r="AW1119" s="115"/>
      <c r="AX1119" s="26"/>
      <c r="AY1119" s="15"/>
      <c r="BC1119" s="117"/>
      <c r="BD1119" s="116"/>
      <c r="BE1119" s="116"/>
      <c r="BF1119" s="116"/>
    </row>
    <row r="1120" spans="1:58" ht="19.5" x14ac:dyDescent="0.4">
      <c r="A1120" s="115"/>
      <c r="B1120" s="115"/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22"/>
      <c r="AH1120" s="122"/>
      <c r="AI1120" s="122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115"/>
      <c r="AV1120" s="115"/>
      <c r="AW1120" s="115"/>
      <c r="AX1120" s="17"/>
      <c r="AY1120" s="15"/>
      <c r="BC1120" s="117"/>
      <c r="BD1120" s="116"/>
      <c r="BE1120" s="116"/>
      <c r="BF1120" s="116"/>
    </row>
    <row r="1121" spans="1:58" ht="19.5" x14ac:dyDescent="0.4">
      <c r="AX1121" s="26"/>
      <c r="AY1121" s="105"/>
      <c r="BC1121" s="117"/>
      <c r="BD1121" s="116"/>
      <c r="BE1121" s="116"/>
      <c r="BF1121" s="116"/>
    </row>
    <row r="1122" spans="1:58" ht="19.5" x14ac:dyDescent="0.4">
      <c r="AD1122" s="115"/>
      <c r="AE1122" s="115"/>
      <c r="AF1122" s="115"/>
      <c r="AG1122" s="122"/>
      <c r="AH1122" s="122"/>
      <c r="AI1122" s="122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15"/>
      <c r="AU1122" s="115"/>
      <c r="AV1122" s="115"/>
      <c r="AW1122" s="115"/>
      <c r="AX1122" s="17"/>
      <c r="AY1122" s="15"/>
      <c r="BC1122" s="117"/>
      <c r="BD1122" s="116"/>
      <c r="BE1122" s="116"/>
      <c r="BF1122" s="116"/>
    </row>
    <row r="1123" spans="1:58" ht="19.5" x14ac:dyDescent="0.4">
      <c r="AA1123" s="115"/>
      <c r="AB1123" s="115"/>
      <c r="AC1123" s="115"/>
      <c r="AD1123" s="115"/>
      <c r="AE1123" s="115"/>
      <c r="AF1123" s="115"/>
      <c r="AG1123" s="122"/>
      <c r="AH1123" s="122"/>
      <c r="AI1123" s="122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15"/>
      <c r="AU1123" s="115"/>
      <c r="AV1123" s="115"/>
      <c r="AW1123" s="115"/>
      <c r="AX1123" s="26"/>
      <c r="AY1123" s="15"/>
      <c r="BC1123" s="117"/>
      <c r="BD1123" s="116"/>
      <c r="BE1123" s="116"/>
      <c r="BF1123" s="116"/>
    </row>
    <row r="1124" spans="1:58" ht="19.5" x14ac:dyDescent="0.4">
      <c r="AA1124" s="115"/>
      <c r="AB1124" s="115"/>
      <c r="AC1124" s="115"/>
      <c r="AD1124" s="115"/>
      <c r="AE1124" s="115"/>
      <c r="AF1124" s="115"/>
      <c r="AG1124" s="122"/>
      <c r="AH1124" s="122"/>
      <c r="AI1124" s="122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15"/>
      <c r="AT1124" s="115"/>
      <c r="AU1124" s="115"/>
      <c r="AV1124" s="115"/>
      <c r="AW1124" s="115"/>
      <c r="AX1124" s="17"/>
      <c r="AY1124" s="15"/>
      <c r="BC1124" s="117"/>
      <c r="BD1124" s="116"/>
      <c r="BE1124" s="116"/>
      <c r="BF1124" s="116"/>
    </row>
    <row r="1125" spans="1:58" ht="19.5" x14ac:dyDescent="0.4"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22"/>
      <c r="AH1125" s="122"/>
      <c r="AI1125" s="122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15"/>
      <c r="AU1125" s="115"/>
      <c r="AV1125" s="115"/>
      <c r="AW1125" s="115"/>
      <c r="AX1125" s="26"/>
      <c r="AY1125" s="15"/>
      <c r="BC1125" s="117"/>
      <c r="BD1125" s="116"/>
      <c r="BE1125" s="116"/>
      <c r="BF1125" s="116"/>
    </row>
    <row r="1126" spans="1:58" ht="19.5" x14ac:dyDescent="0.4"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22"/>
      <c r="AH1126" s="122"/>
      <c r="AI1126" s="122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17"/>
      <c r="AY1126" s="15"/>
      <c r="BC1126" s="117"/>
      <c r="BD1126" s="116"/>
      <c r="BE1126" s="116"/>
      <c r="BF1126" s="116"/>
    </row>
    <row r="1127" spans="1:58" ht="19.5" x14ac:dyDescent="0.4">
      <c r="A1127" s="115"/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22"/>
      <c r="AH1127" s="122"/>
      <c r="AI1127" s="122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26"/>
      <c r="AY1127" s="15"/>
      <c r="BC1127" s="117"/>
      <c r="BD1127" s="116"/>
      <c r="BE1127" s="116"/>
      <c r="BF1127" s="116"/>
    </row>
    <row r="1128" spans="1:58" ht="19.5" x14ac:dyDescent="0.4">
      <c r="A1128" s="115"/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22"/>
      <c r="AH1128" s="122"/>
      <c r="AI1128" s="122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115"/>
      <c r="AT1128" s="115"/>
      <c r="AU1128" s="115"/>
      <c r="AV1128" s="115"/>
      <c r="AW1128" s="115"/>
      <c r="AX1128" s="26"/>
      <c r="AY1128" s="15"/>
      <c r="BC1128" s="117"/>
      <c r="BD1128" s="116"/>
      <c r="BE1128" s="116"/>
      <c r="BF1128" s="116"/>
    </row>
    <row r="1129" spans="1:58" ht="19.5" x14ac:dyDescent="0.4">
      <c r="A1129" s="115"/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22"/>
      <c r="AH1129" s="122"/>
      <c r="AI1129" s="122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15"/>
      <c r="AU1129" s="115"/>
      <c r="AV1129" s="115"/>
      <c r="AW1129" s="115"/>
      <c r="AX1129" s="17"/>
      <c r="AY1129" s="15"/>
      <c r="BC1129" s="117"/>
      <c r="BD1129" s="116"/>
      <c r="BE1129" s="116"/>
      <c r="BF1129" s="116"/>
    </row>
    <row r="1130" spans="1:58" ht="19.5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22"/>
      <c r="AH1130" s="122"/>
      <c r="AI1130" s="122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15"/>
      <c r="AT1130" s="115"/>
      <c r="AU1130" s="115"/>
      <c r="AV1130" s="115"/>
      <c r="AW1130" s="115"/>
      <c r="AX1130" s="26"/>
      <c r="AY1130" s="15"/>
      <c r="BC1130" s="117"/>
      <c r="BD1130" s="116"/>
      <c r="BE1130" s="116"/>
      <c r="BF1130" s="116"/>
    </row>
    <row r="1131" spans="1:58" ht="19.5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22"/>
      <c r="AH1131" s="122"/>
      <c r="AI1131" s="122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15"/>
      <c r="AU1131" s="115"/>
      <c r="AV1131" s="115"/>
      <c r="AW1131" s="115"/>
      <c r="AX1131" s="17"/>
      <c r="AY1131" s="15"/>
      <c r="BC1131" s="117"/>
      <c r="BD1131" s="116"/>
      <c r="BE1131" s="116"/>
      <c r="BF1131" s="116"/>
    </row>
    <row r="1132" spans="1:58" ht="19.5" x14ac:dyDescent="0.4">
      <c r="AX1132" s="26"/>
      <c r="AY1132" s="15"/>
      <c r="BC1132" s="117"/>
      <c r="BD1132" s="116"/>
      <c r="BE1132" s="116"/>
      <c r="BF1132" s="116"/>
    </row>
    <row r="1133" spans="1:58" ht="19.5" x14ac:dyDescent="0.4">
      <c r="AD1133" s="115"/>
      <c r="AE1133" s="115"/>
      <c r="AF1133" s="115"/>
      <c r="AG1133" s="122"/>
      <c r="AH1133" s="122"/>
      <c r="AI1133" s="122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15"/>
      <c r="AU1133" s="115"/>
      <c r="AV1133" s="115"/>
      <c r="AW1133" s="115"/>
      <c r="AX1133" s="17"/>
      <c r="AY1133" s="15"/>
      <c r="BC1133" s="117"/>
      <c r="BD1133" s="116"/>
      <c r="BE1133" s="116"/>
      <c r="BF1133" s="116"/>
    </row>
    <row r="1134" spans="1:58" ht="19.5" x14ac:dyDescent="0.4">
      <c r="AX1134" s="26"/>
      <c r="AY1134" s="15"/>
      <c r="BC1134" s="117"/>
      <c r="BD1134" s="116"/>
      <c r="BE1134" s="116"/>
      <c r="BF1134" s="116"/>
    </row>
    <row r="1135" spans="1:58" ht="19.5" x14ac:dyDescent="0.4">
      <c r="AD1135" s="115"/>
      <c r="AE1135" s="115"/>
      <c r="AF1135" s="115"/>
      <c r="AG1135" s="122"/>
      <c r="AH1135" s="122"/>
      <c r="AI1135" s="122"/>
      <c r="AJ1135" s="115"/>
      <c r="AK1135" s="115"/>
      <c r="AL1135" s="115"/>
      <c r="AM1135" s="115"/>
      <c r="AN1135" s="115"/>
      <c r="AO1135" s="115"/>
      <c r="AP1135" s="115"/>
      <c r="AQ1135" s="115"/>
      <c r="AR1135" s="115"/>
      <c r="AS1135" s="115"/>
      <c r="AT1135" s="115"/>
      <c r="AU1135" s="115"/>
      <c r="AV1135" s="115"/>
      <c r="AW1135" s="115"/>
      <c r="AX1135" s="17"/>
      <c r="AY1135" s="15"/>
      <c r="BC1135" s="117"/>
      <c r="BD1135" s="116"/>
      <c r="BE1135" s="116"/>
      <c r="BF1135" s="116"/>
    </row>
    <row r="1136" spans="1:58" ht="19.5" x14ac:dyDescent="0.4">
      <c r="AX1136" s="26"/>
      <c r="AY1136" s="15"/>
      <c r="BC1136" s="117"/>
      <c r="BD1136" s="116"/>
      <c r="BE1136" s="116"/>
      <c r="BF1136" s="116"/>
    </row>
    <row r="1137" spans="2:58" ht="19.5" x14ac:dyDescent="0.4">
      <c r="AD1137" s="115"/>
      <c r="AE1137" s="115"/>
      <c r="AF1137" s="115"/>
      <c r="AG1137" s="122"/>
      <c r="AH1137" s="122"/>
      <c r="AI1137" s="122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115"/>
      <c r="AV1137" s="115"/>
      <c r="AW1137" s="115"/>
      <c r="AX1137" s="17"/>
      <c r="AY1137" s="15"/>
      <c r="BC1137" s="117"/>
      <c r="BD1137" s="116"/>
      <c r="BE1137" s="116"/>
      <c r="BF1137" s="116"/>
    </row>
    <row r="1138" spans="2:58" ht="19.5" x14ac:dyDescent="0.4"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22"/>
      <c r="AH1138" s="122"/>
      <c r="AI1138" s="122"/>
      <c r="AJ1138" s="115"/>
      <c r="AK1138" s="115"/>
      <c r="AL1138" s="115"/>
      <c r="AM1138" s="115"/>
      <c r="AN1138" s="115"/>
      <c r="AO1138" s="115"/>
      <c r="AP1138" s="115"/>
      <c r="AQ1138" s="115"/>
      <c r="AR1138" s="115"/>
      <c r="AS1138" s="115"/>
      <c r="AT1138" s="115"/>
      <c r="AU1138" s="115"/>
      <c r="AV1138" s="115"/>
      <c r="AW1138" s="115"/>
      <c r="AX1138" s="26"/>
      <c r="AY1138" s="15"/>
      <c r="BC1138" s="117"/>
      <c r="BD1138" s="116"/>
      <c r="BE1138" s="116"/>
      <c r="BF1138" s="116"/>
    </row>
    <row r="1139" spans="2:58" ht="19.5" x14ac:dyDescent="0.4"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22"/>
      <c r="AH1139" s="122"/>
      <c r="AI1139" s="122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17"/>
      <c r="AY1139" s="15"/>
      <c r="BC1139" s="117"/>
      <c r="BD1139" s="116"/>
      <c r="BE1139" s="116"/>
      <c r="BF1139" s="116"/>
    </row>
    <row r="1140" spans="2:58" ht="19.5" x14ac:dyDescent="0.4"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22"/>
      <c r="AH1140" s="122"/>
      <c r="AI1140" s="122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15"/>
      <c r="AU1140" s="115"/>
      <c r="AV1140" s="115"/>
      <c r="AW1140" s="115"/>
      <c r="AX1140" s="26"/>
      <c r="AY1140" s="15"/>
      <c r="BC1140" s="117"/>
      <c r="BD1140" s="116"/>
      <c r="BE1140" s="116"/>
      <c r="BF1140" s="116"/>
    </row>
    <row r="1141" spans="2:58" ht="19.5" x14ac:dyDescent="0.4">
      <c r="AX1141" s="26"/>
      <c r="AY1141" s="15"/>
      <c r="BC1141" s="117"/>
      <c r="BD1141" s="116"/>
      <c r="BE1141" s="116"/>
      <c r="BF1141" s="116"/>
    </row>
    <row r="1142" spans="2:58" ht="19.5" x14ac:dyDescent="0.4">
      <c r="AD1142" s="115"/>
      <c r="AE1142" s="115"/>
      <c r="AF1142" s="115"/>
      <c r="AG1142" s="122"/>
      <c r="AH1142" s="122"/>
      <c r="AI1142" s="122"/>
      <c r="AJ1142" s="115"/>
      <c r="AK1142" s="115"/>
      <c r="AL1142" s="115"/>
      <c r="AM1142" s="115"/>
      <c r="AN1142" s="115"/>
      <c r="AO1142" s="115"/>
      <c r="AP1142" s="115"/>
      <c r="AQ1142" s="115"/>
      <c r="AR1142" s="115"/>
      <c r="AS1142" s="115"/>
      <c r="AT1142" s="115"/>
      <c r="AU1142" s="115"/>
      <c r="AV1142" s="115"/>
      <c r="AW1142" s="115"/>
      <c r="AX1142" s="17"/>
      <c r="AY1142" s="15"/>
      <c r="BC1142" s="117"/>
      <c r="BD1142" s="116"/>
      <c r="BE1142" s="116"/>
      <c r="BF1142" s="116"/>
    </row>
    <row r="1143" spans="2:58" ht="19.5" x14ac:dyDescent="0.4">
      <c r="AB1143" s="115"/>
      <c r="AC1143" s="115"/>
      <c r="AD1143" s="115"/>
      <c r="AE1143" s="115"/>
      <c r="AF1143" s="115"/>
      <c r="AG1143" s="122"/>
      <c r="AH1143" s="122"/>
      <c r="AI1143" s="122"/>
      <c r="AJ1143" s="115"/>
      <c r="AK1143" s="115"/>
      <c r="AL1143" s="115"/>
      <c r="AM1143" s="115"/>
      <c r="AN1143" s="115"/>
      <c r="AO1143" s="115"/>
      <c r="AP1143" s="115"/>
      <c r="AQ1143" s="115"/>
      <c r="AR1143" s="115"/>
      <c r="AS1143" s="115"/>
      <c r="AT1143" s="115"/>
      <c r="AU1143" s="115"/>
      <c r="AV1143" s="115"/>
      <c r="AW1143" s="115"/>
      <c r="AX1143" s="26"/>
      <c r="AY1143" s="15"/>
      <c r="BC1143" s="117"/>
      <c r="BD1143" s="116"/>
      <c r="BE1143" s="116"/>
      <c r="BF1143" s="116"/>
    </row>
    <row r="1144" spans="2:58" ht="19.5" x14ac:dyDescent="0.4">
      <c r="AB1144" s="115"/>
      <c r="AC1144" s="115"/>
      <c r="AD1144" s="115"/>
      <c r="AE1144" s="115"/>
      <c r="AF1144" s="115"/>
      <c r="AG1144" s="122"/>
      <c r="AH1144" s="122"/>
      <c r="AI1144" s="122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15"/>
      <c r="AU1144" s="115"/>
      <c r="AV1144" s="115"/>
      <c r="AW1144" s="115"/>
      <c r="AX1144" s="17"/>
      <c r="AY1144" s="13"/>
      <c r="BC1144" s="117"/>
      <c r="BD1144" s="116"/>
      <c r="BE1144" s="116"/>
      <c r="BF1144" s="116"/>
    </row>
    <row r="1145" spans="2:58" ht="19.5" x14ac:dyDescent="0.4">
      <c r="AA1145" s="115"/>
      <c r="AB1145" s="115"/>
      <c r="AC1145" s="115"/>
      <c r="AD1145" s="115"/>
      <c r="AE1145" s="115"/>
      <c r="AF1145" s="115"/>
      <c r="AG1145" s="122"/>
      <c r="AH1145" s="122"/>
      <c r="AI1145" s="122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15"/>
      <c r="AT1145" s="115"/>
      <c r="AU1145" s="115"/>
      <c r="AV1145" s="115"/>
      <c r="AW1145" s="115"/>
      <c r="AX1145" s="26"/>
      <c r="AY1145" s="13"/>
      <c r="BC1145" s="117"/>
      <c r="BD1145" s="116"/>
      <c r="BE1145" s="116"/>
      <c r="BF1145" s="116"/>
    </row>
    <row r="1146" spans="2:58" ht="19.5" x14ac:dyDescent="0.4">
      <c r="AA1146" s="115"/>
      <c r="AB1146" s="115"/>
      <c r="AC1146" s="115"/>
      <c r="AD1146" s="115"/>
      <c r="AE1146" s="115"/>
      <c r="AF1146" s="115"/>
      <c r="AG1146" s="122"/>
      <c r="AH1146" s="122"/>
      <c r="AI1146" s="122"/>
      <c r="AJ1146" s="115"/>
      <c r="AK1146" s="115"/>
      <c r="AL1146" s="115"/>
      <c r="AM1146" s="115"/>
      <c r="AN1146" s="115"/>
      <c r="AO1146" s="115"/>
      <c r="AP1146" s="115"/>
      <c r="AQ1146" s="115"/>
      <c r="AR1146" s="115"/>
      <c r="AS1146" s="115"/>
      <c r="AT1146" s="115"/>
      <c r="AU1146" s="115"/>
      <c r="AV1146" s="115"/>
      <c r="AW1146" s="115"/>
      <c r="AX1146" s="17"/>
      <c r="AY1146" s="13"/>
      <c r="BC1146" s="117"/>
      <c r="BD1146" s="116"/>
      <c r="BE1146" s="116"/>
      <c r="BF1146" s="116"/>
    </row>
    <row r="1147" spans="2:58" ht="19.5" x14ac:dyDescent="0.4"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22"/>
      <c r="AH1147" s="122"/>
      <c r="AI1147" s="122"/>
      <c r="AJ1147" s="115"/>
      <c r="AK1147" s="115"/>
      <c r="AL1147" s="115"/>
      <c r="AM1147" s="115"/>
      <c r="AN1147" s="115"/>
      <c r="AO1147" s="115"/>
      <c r="AP1147" s="115"/>
      <c r="AQ1147" s="115"/>
      <c r="AR1147" s="115"/>
      <c r="AS1147" s="115"/>
      <c r="AT1147" s="115"/>
      <c r="AU1147" s="115"/>
      <c r="AV1147" s="115"/>
      <c r="AW1147" s="115"/>
      <c r="AX1147" s="26"/>
      <c r="AY1147" s="15"/>
      <c r="BC1147" s="117"/>
      <c r="BD1147" s="116"/>
      <c r="BE1147" s="116"/>
      <c r="BF1147" s="116"/>
    </row>
    <row r="1148" spans="2:58" ht="19.5" x14ac:dyDescent="0.4"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22"/>
      <c r="AH1148" s="122"/>
      <c r="AI1148" s="122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115"/>
      <c r="AT1148" s="115"/>
      <c r="AU1148" s="115"/>
      <c r="AV1148" s="115"/>
      <c r="AW1148" s="115"/>
      <c r="AX1148" s="17"/>
      <c r="AY1148" s="15"/>
      <c r="BC1148" s="117"/>
      <c r="BD1148" s="116"/>
      <c r="BE1148" s="116"/>
      <c r="BF1148" s="116"/>
    </row>
    <row r="1149" spans="2:58" ht="19.5" x14ac:dyDescent="0.4"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22"/>
      <c r="AH1149" s="122"/>
      <c r="AI1149" s="122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115"/>
      <c r="AT1149" s="115"/>
      <c r="AU1149" s="115"/>
      <c r="AV1149" s="115"/>
      <c r="AW1149" s="115"/>
      <c r="AX1149" s="26"/>
      <c r="AY1149" s="105"/>
      <c r="BC1149" s="117"/>
      <c r="BD1149" s="116"/>
      <c r="BE1149" s="116"/>
      <c r="BF1149" s="116"/>
    </row>
    <row r="1150" spans="2:58" ht="19.5" x14ac:dyDescent="0.4"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22"/>
      <c r="AH1150" s="122"/>
      <c r="AI1150" s="122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7"/>
      <c r="AY1150" s="15"/>
      <c r="BC1150" s="117"/>
      <c r="BD1150" s="116"/>
      <c r="BE1150" s="116"/>
      <c r="BF1150" s="116"/>
    </row>
    <row r="1151" spans="2:58" ht="19.5" x14ac:dyDescent="0.4"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22"/>
      <c r="AH1151" s="122"/>
      <c r="AI1151" s="122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26"/>
      <c r="AY1151" s="15"/>
      <c r="BC1151" s="117"/>
      <c r="BD1151" s="116"/>
      <c r="BE1151" s="116"/>
      <c r="BF1151" s="116"/>
    </row>
    <row r="1152" spans="2:58" ht="19.5" x14ac:dyDescent="0.4"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22"/>
      <c r="AH1152" s="122"/>
      <c r="AI1152" s="122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26"/>
      <c r="AY1152" s="15"/>
      <c r="BC1152" s="117"/>
      <c r="BD1152" s="116"/>
      <c r="BE1152" s="116"/>
      <c r="BF1152" s="116"/>
    </row>
    <row r="1153" spans="1:58" ht="19.5" x14ac:dyDescent="0.4">
      <c r="AX1153" s="26"/>
      <c r="AY1153" s="15"/>
      <c r="BC1153" s="117"/>
      <c r="BD1153" s="116"/>
      <c r="BE1153" s="116"/>
      <c r="BF1153" s="116"/>
    </row>
    <row r="1154" spans="1:58" ht="19.5" x14ac:dyDescent="0.4">
      <c r="AC1154" s="115"/>
      <c r="AD1154" s="115"/>
      <c r="AE1154" s="115"/>
      <c r="AF1154" s="115"/>
      <c r="AG1154" s="122"/>
      <c r="AH1154" s="122"/>
      <c r="AI1154" s="122"/>
      <c r="AJ1154" s="115"/>
      <c r="AK1154" s="115"/>
      <c r="AL1154" s="115"/>
      <c r="AM1154" s="115"/>
      <c r="AN1154" s="115"/>
      <c r="AO1154" s="115"/>
      <c r="AP1154" s="115"/>
      <c r="AQ1154" s="115"/>
      <c r="AR1154" s="115"/>
      <c r="AS1154" s="115"/>
      <c r="AT1154" s="115"/>
      <c r="AU1154" s="115"/>
      <c r="AV1154" s="115"/>
      <c r="AW1154" s="115"/>
      <c r="AX1154" s="26"/>
      <c r="AY1154" s="15"/>
      <c r="BC1154" s="117"/>
      <c r="BD1154" s="116"/>
      <c r="BE1154" s="116"/>
      <c r="BF1154" s="116"/>
    </row>
    <row r="1155" spans="1:58" ht="19.5" x14ac:dyDescent="0.4">
      <c r="A1155" s="115"/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22"/>
      <c r="AH1155" s="122"/>
      <c r="AI1155" s="122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15"/>
      <c r="AT1155" s="115"/>
      <c r="AU1155" s="115"/>
      <c r="AV1155" s="115"/>
      <c r="AW1155" s="115"/>
      <c r="AX1155" s="26"/>
      <c r="AY1155" s="15"/>
      <c r="BC1155" s="117"/>
      <c r="BD1155" s="116"/>
      <c r="BE1155" s="116"/>
      <c r="BF1155" s="116"/>
    </row>
    <row r="1156" spans="1:58" ht="19.5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22"/>
      <c r="AH1156" s="122"/>
      <c r="AI1156" s="122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115"/>
      <c r="AT1156" s="115"/>
      <c r="AU1156" s="115"/>
      <c r="AV1156" s="115"/>
      <c r="AW1156" s="115"/>
      <c r="AX1156" s="26"/>
      <c r="AY1156" s="15"/>
      <c r="BC1156" s="117"/>
      <c r="BD1156" s="116"/>
      <c r="BE1156" s="116"/>
      <c r="BF1156" s="116"/>
    </row>
    <row r="1157" spans="1:58" ht="19.5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22"/>
      <c r="AH1157" s="122"/>
      <c r="AI1157" s="122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115"/>
      <c r="AT1157" s="115"/>
      <c r="AU1157" s="115"/>
      <c r="AV1157" s="115"/>
      <c r="AW1157" s="115"/>
      <c r="AX1157" s="17"/>
      <c r="AY1157" s="15"/>
      <c r="BC1157" s="117"/>
      <c r="BD1157" s="116"/>
      <c r="BE1157" s="116"/>
      <c r="BF1157" s="116"/>
    </row>
    <row r="1158" spans="1:58" ht="19.5" x14ac:dyDescent="0.4">
      <c r="AX1158" s="26"/>
      <c r="AY1158" s="15"/>
      <c r="BC1158" s="117"/>
      <c r="BD1158" s="116"/>
      <c r="BE1158" s="116"/>
      <c r="BF1158" s="116"/>
    </row>
    <row r="1159" spans="1:58" ht="19.5" x14ac:dyDescent="0.4">
      <c r="AD1159" s="115"/>
      <c r="AE1159" s="115"/>
      <c r="AF1159" s="115"/>
      <c r="AG1159" s="122"/>
      <c r="AH1159" s="122"/>
      <c r="AI1159" s="122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115"/>
      <c r="AT1159" s="115"/>
      <c r="AU1159" s="115"/>
      <c r="AV1159" s="115"/>
      <c r="AW1159" s="115"/>
      <c r="AX1159" s="17"/>
      <c r="AY1159" s="15"/>
      <c r="BC1159" s="117"/>
      <c r="BD1159" s="116"/>
      <c r="BE1159" s="116"/>
      <c r="BF1159" s="116"/>
    </row>
    <row r="1160" spans="1:58" ht="19.5" x14ac:dyDescent="0.4">
      <c r="AC1160" s="115"/>
      <c r="AD1160" s="115"/>
      <c r="AE1160" s="115"/>
      <c r="AF1160" s="115"/>
      <c r="AG1160" s="122"/>
      <c r="AH1160" s="122"/>
      <c r="AI1160" s="122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115"/>
      <c r="AU1160" s="115"/>
      <c r="AV1160" s="115"/>
      <c r="AW1160" s="115"/>
      <c r="AX1160" s="26"/>
      <c r="AY1160" s="15"/>
      <c r="BC1160" s="117"/>
      <c r="BD1160" s="116"/>
      <c r="BE1160" s="116"/>
      <c r="BF1160" s="116"/>
    </row>
    <row r="1161" spans="1:58" ht="19.5" x14ac:dyDescent="0.4"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22"/>
      <c r="AH1161" s="122"/>
      <c r="AI1161" s="122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15"/>
      <c r="AT1161" s="115"/>
      <c r="AU1161" s="115"/>
      <c r="AV1161" s="115"/>
      <c r="AW1161" s="115"/>
      <c r="AX1161" s="26"/>
      <c r="AY1161" s="15"/>
      <c r="BC1161" s="117"/>
      <c r="BD1161" s="116"/>
      <c r="BE1161" s="116"/>
      <c r="BF1161" s="116"/>
    </row>
    <row r="1162" spans="1:58" ht="19.5" x14ac:dyDescent="0.4"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22"/>
      <c r="AH1162" s="122"/>
      <c r="AI1162" s="122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26"/>
      <c r="AY1162" s="15"/>
      <c r="BC1162" s="117"/>
      <c r="BD1162" s="116"/>
      <c r="BE1162" s="116"/>
      <c r="BF1162" s="116"/>
    </row>
    <row r="1163" spans="1:58" ht="19.5" x14ac:dyDescent="0.4"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22"/>
      <c r="AH1163" s="122"/>
      <c r="AI1163" s="122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115"/>
      <c r="AV1163" s="115"/>
      <c r="AW1163" s="115"/>
      <c r="AX1163" s="26"/>
      <c r="AY1163" s="15"/>
      <c r="BC1163" s="117"/>
      <c r="BD1163" s="116"/>
      <c r="BE1163" s="116"/>
      <c r="BF1163" s="116"/>
    </row>
    <row r="1164" spans="1:58" ht="19.5" x14ac:dyDescent="0.4">
      <c r="A1164" s="115"/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22"/>
      <c r="AH1164" s="122"/>
      <c r="AI1164" s="122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15"/>
      <c r="AW1164" s="115"/>
      <c r="AX1164" s="26"/>
      <c r="AY1164" s="15"/>
      <c r="BC1164" s="117"/>
      <c r="BD1164" s="116"/>
      <c r="BE1164" s="116"/>
      <c r="BF1164" s="116"/>
    </row>
    <row r="1165" spans="1:58" ht="19.5" x14ac:dyDescent="0.4">
      <c r="A1165" s="115"/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22"/>
      <c r="AH1165" s="122"/>
      <c r="AI1165" s="122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115"/>
      <c r="AU1165" s="115"/>
      <c r="AV1165" s="115"/>
      <c r="AW1165" s="115"/>
      <c r="AX1165" s="26"/>
      <c r="AY1165" s="15"/>
      <c r="BC1165" s="117"/>
      <c r="BD1165" s="116"/>
      <c r="BE1165" s="116"/>
      <c r="BF1165" s="116"/>
    </row>
    <row r="1166" spans="1:58" ht="19.5" x14ac:dyDescent="0.4">
      <c r="A1166" s="115"/>
      <c r="B1166" s="115"/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22"/>
      <c r="AH1166" s="122"/>
      <c r="AI1166" s="122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17"/>
      <c r="AY1166" s="15"/>
      <c r="BC1166" s="117"/>
      <c r="BD1166" s="116"/>
      <c r="BE1166" s="116"/>
      <c r="BF1166" s="116"/>
    </row>
    <row r="1167" spans="1:58" ht="19.5" x14ac:dyDescent="0.4">
      <c r="AX1167" s="26"/>
      <c r="AY1167" s="15"/>
      <c r="BC1167" s="117"/>
      <c r="BD1167" s="116"/>
      <c r="BE1167" s="116"/>
      <c r="BF1167" s="116"/>
    </row>
    <row r="1168" spans="1:58" ht="19.5" x14ac:dyDescent="0.4">
      <c r="AD1168" s="115"/>
      <c r="AE1168" s="115"/>
      <c r="AF1168" s="115"/>
      <c r="AG1168" s="122"/>
      <c r="AH1168" s="122"/>
      <c r="AI1168" s="122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15"/>
      <c r="AT1168" s="115"/>
      <c r="AU1168" s="115"/>
      <c r="AV1168" s="115"/>
      <c r="AW1168" s="115"/>
      <c r="AX1168" s="17"/>
      <c r="AY1168" s="13"/>
      <c r="BC1168" s="117"/>
      <c r="BD1168" s="116"/>
      <c r="BE1168" s="116"/>
      <c r="BF1168" s="116"/>
    </row>
    <row r="1169" spans="1:58" ht="19.5" x14ac:dyDescent="0.4">
      <c r="AD1169" s="115"/>
      <c r="AE1169" s="115"/>
      <c r="AF1169" s="115"/>
      <c r="AG1169" s="122"/>
      <c r="AH1169" s="122"/>
      <c r="AI1169" s="122"/>
      <c r="AJ1169" s="115"/>
      <c r="AK1169" s="115"/>
      <c r="AL1169" s="115"/>
      <c r="AM1169" s="115"/>
      <c r="AN1169" s="115"/>
      <c r="AO1169" s="115"/>
      <c r="AP1169" s="115"/>
      <c r="AQ1169" s="115"/>
      <c r="AR1169" s="115"/>
      <c r="AS1169" s="115"/>
      <c r="AT1169" s="115"/>
      <c r="AU1169" s="115"/>
      <c r="AV1169" s="115"/>
      <c r="AW1169" s="115"/>
      <c r="AX1169" s="17"/>
      <c r="AY1169" s="13"/>
      <c r="BC1169" s="117"/>
      <c r="BD1169" s="116"/>
      <c r="BE1169" s="116"/>
      <c r="BF1169" s="116"/>
    </row>
    <row r="1170" spans="1:58" ht="19.5" x14ac:dyDescent="0.4">
      <c r="AX1170" s="26"/>
      <c r="AY1170" s="13"/>
      <c r="BC1170" s="117"/>
      <c r="BD1170" s="116"/>
      <c r="BE1170" s="116"/>
      <c r="BF1170" s="116"/>
    </row>
    <row r="1171" spans="1:58" ht="19.5" x14ac:dyDescent="0.4">
      <c r="AX1171" s="26"/>
      <c r="AY1171" s="13"/>
      <c r="BC1171" s="116"/>
      <c r="BD1171" s="116"/>
      <c r="BE1171" s="116"/>
      <c r="BF1171" s="116"/>
    </row>
    <row r="1172" spans="1:58" ht="19.5" x14ac:dyDescent="0.4"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22"/>
      <c r="AH1172" s="122"/>
      <c r="AI1172" s="122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26"/>
      <c r="AY1172" s="13"/>
      <c r="BC1172" s="118"/>
      <c r="BD1172" s="118"/>
      <c r="BE1172" s="118"/>
      <c r="BF1172" s="118"/>
    </row>
    <row r="1173" spans="1:58" ht="19.5" x14ac:dyDescent="0.4"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22"/>
      <c r="AH1173" s="122"/>
      <c r="AI1173" s="122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26"/>
      <c r="AY1173" s="13"/>
      <c r="BC1173" s="118"/>
      <c r="BD1173" s="118"/>
      <c r="BE1173" s="118"/>
      <c r="BF1173" s="118"/>
    </row>
    <row r="1174" spans="1:58" ht="19.5" x14ac:dyDescent="0.4"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22"/>
      <c r="AH1174" s="122"/>
      <c r="AI1174" s="122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115"/>
      <c r="AU1174" s="115"/>
      <c r="AV1174" s="115"/>
      <c r="AW1174" s="115"/>
      <c r="AX1174" s="26"/>
      <c r="AY1174" s="13"/>
      <c r="BC1174" s="118"/>
      <c r="BD1174" s="118"/>
      <c r="BE1174" s="118"/>
      <c r="BF1174" s="118"/>
    </row>
    <row r="1175" spans="1:58" ht="19.5" x14ac:dyDescent="0.4"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22"/>
      <c r="AH1175" s="122"/>
      <c r="AI1175" s="122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26"/>
      <c r="AY1175" s="15"/>
      <c r="BC1175" s="118"/>
      <c r="BD1175" s="118"/>
      <c r="BE1175" s="118"/>
      <c r="BF1175" s="118"/>
    </row>
    <row r="1176" spans="1:58" ht="19.5" x14ac:dyDescent="0.4"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22"/>
      <c r="AH1176" s="122"/>
      <c r="AI1176" s="122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15"/>
      <c r="AT1176" s="115"/>
      <c r="AU1176" s="115"/>
      <c r="AV1176" s="115"/>
      <c r="AW1176" s="115"/>
      <c r="AX1176" s="26"/>
      <c r="AY1176" s="15"/>
      <c r="BC1176" s="118"/>
      <c r="BD1176" s="118"/>
      <c r="BE1176" s="118"/>
      <c r="BF1176" s="118"/>
    </row>
    <row r="1177" spans="1:58" ht="19.5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22"/>
      <c r="AH1177" s="122"/>
      <c r="AI1177" s="122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115"/>
      <c r="AU1177" s="115"/>
      <c r="AV1177" s="115"/>
      <c r="AW1177" s="115"/>
      <c r="AX1177" s="26"/>
      <c r="AY1177" s="15"/>
      <c r="BC1177" s="118"/>
      <c r="BD1177" s="118"/>
      <c r="BE1177" s="118"/>
      <c r="BF1177" s="118"/>
    </row>
    <row r="1178" spans="1:58" ht="19.5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22"/>
      <c r="AH1178" s="122"/>
      <c r="AI1178" s="122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15"/>
      <c r="AT1178" s="115"/>
      <c r="AU1178" s="115"/>
      <c r="AV1178" s="115"/>
      <c r="AW1178" s="115"/>
      <c r="AX1178" s="26"/>
      <c r="AY1178" s="15"/>
      <c r="BC1178" s="118"/>
      <c r="BD1178" s="118"/>
      <c r="BE1178" s="118"/>
      <c r="BF1178" s="118"/>
    </row>
    <row r="1179" spans="1:58" ht="20.25" customHeight="1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22"/>
      <c r="AH1179" s="122"/>
      <c r="AI1179" s="122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115"/>
      <c r="AT1179" s="115"/>
      <c r="AU1179" s="115"/>
      <c r="AV1179" s="115"/>
      <c r="AW1179" s="115"/>
      <c r="AX1179" s="26"/>
      <c r="AY1179" s="15"/>
      <c r="BC1179" s="118"/>
      <c r="BD1179" s="118"/>
      <c r="BE1179" s="118"/>
      <c r="BF1179" s="118"/>
    </row>
    <row r="1180" spans="1:58" x14ac:dyDescent="0.4">
      <c r="AX1180" s="26"/>
      <c r="AY1180" s="15"/>
    </row>
    <row r="1181" spans="1:58" x14ac:dyDescent="0.4">
      <c r="AX1181" s="26"/>
      <c r="AY1181" s="13"/>
    </row>
    <row r="1182" spans="1:58" x14ac:dyDescent="0.4">
      <c r="AB1182" s="115"/>
      <c r="AC1182" s="115"/>
      <c r="AD1182" s="115"/>
      <c r="AE1182" s="115"/>
      <c r="AF1182" s="115"/>
      <c r="AG1182" s="122"/>
      <c r="AH1182" s="122"/>
      <c r="AI1182" s="122"/>
      <c r="AJ1182" s="115"/>
      <c r="AK1182" s="115"/>
      <c r="AL1182" s="115"/>
      <c r="AM1182" s="115"/>
      <c r="AN1182" s="115"/>
      <c r="AO1182" s="115"/>
      <c r="AP1182" s="115"/>
      <c r="AQ1182" s="115"/>
      <c r="AR1182" s="115"/>
      <c r="AS1182" s="115"/>
      <c r="AT1182" s="115"/>
      <c r="AU1182" s="115"/>
      <c r="AV1182" s="115"/>
      <c r="AW1182" s="115"/>
      <c r="AX1182" s="26"/>
      <c r="AY1182" s="13"/>
    </row>
    <row r="1183" spans="1:58" x14ac:dyDescent="0.4">
      <c r="AB1183" s="115"/>
      <c r="AC1183" s="115"/>
      <c r="AD1183" s="115"/>
      <c r="AE1183" s="115"/>
      <c r="AF1183" s="115"/>
      <c r="AG1183" s="122"/>
      <c r="AH1183" s="122"/>
      <c r="AI1183" s="122"/>
      <c r="AJ1183" s="115"/>
      <c r="AK1183" s="115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115"/>
      <c r="AW1183" s="115"/>
      <c r="AX1183" s="17"/>
      <c r="AY1183" s="13"/>
    </row>
    <row r="1184" spans="1:58" x14ac:dyDescent="0.4"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22"/>
      <c r="AH1184" s="122"/>
      <c r="AI1184" s="122"/>
      <c r="AJ1184" s="115"/>
      <c r="AK1184" s="115"/>
      <c r="AL1184" s="115"/>
      <c r="AM1184" s="115"/>
      <c r="AN1184" s="115"/>
      <c r="AO1184" s="115"/>
      <c r="AP1184" s="115"/>
      <c r="AQ1184" s="115"/>
      <c r="AR1184" s="115"/>
      <c r="AS1184" s="115"/>
      <c r="AT1184" s="115"/>
      <c r="AU1184" s="115"/>
      <c r="AV1184" s="115"/>
      <c r="AW1184" s="115"/>
      <c r="AX1184" s="26"/>
      <c r="AY1184" s="13"/>
    </row>
    <row r="1185" spans="1:51" x14ac:dyDescent="0.4"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22"/>
      <c r="AH1185" s="122"/>
      <c r="AI1185" s="122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115"/>
      <c r="AX1185" s="26"/>
      <c r="AY1185" s="13"/>
    </row>
    <row r="1186" spans="1:51" x14ac:dyDescent="0.4">
      <c r="AX1186" s="26"/>
      <c r="AY1186" s="13"/>
    </row>
    <row r="1187" spans="1:51" x14ac:dyDescent="0.4"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22"/>
      <c r="AH1187" s="122"/>
      <c r="AI1187" s="122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115"/>
      <c r="AV1187" s="115"/>
      <c r="AW1187" s="115"/>
      <c r="AX1187" s="26"/>
      <c r="AY1187" s="13"/>
    </row>
    <row r="1188" spans="1:51" x14ac:dyDescent="0.4"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22"/>
      <c r="AH1188" s="122"/>
      <c r="AI1188" s="122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26"/>
      <c r="AY1188" s="13"/>
    </row>
    <row r="1189" spans="1:51" x14ac:dyDescent="0.4">
      <c r="AX1189" s="26"/>
      <c r="AY1189" s="13"/>
    </row>
    <row r="1190" spans="1:51" x14ac:dyDescent="0.4"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22"/>
      <c r="AH1190" s="122"/>
      <c r="AI1190" s="122"/>
      <c r="AJ1190" s="115"/>
      <c r="AK1190" s="115"/>
      <c r="AL1190" s="115"/>
      <c r="AM1190" s="115"/>
      <c r="AN1190" s="115"/>
      <c r="AO1190" s="115"/>
      <c r="AP1190" s="115"/>
      <c r="AQ1190" s="115"/>
      <c r="AR1190" s="115"/>
      <c r="AS1190" s="115"/>
      <c r="AT1190" s="115"/>
      <c r="AU1190" s="115"/>
      <c r="AV1190" s="115"/>
      <c r="AW1190" s="115"/>
      <c r="AX1190" s="26"/>
      <c r="AY1190" s="13"/>
    </row>
    <row r="1191" spans="1:51" x14ac:dyDescent="0.4">
      <c r="AX1191" s="26"/>
      <c r="AY1191" s="13"/>
    </row>
    <row r="1192" spans="1:51" x14ac:dyDescent="0.4">
      <c r="AA1192" s="115"/>
      <c r="AB1192" s="115"/>
      <c r="AC1192" s="115"/>
      <c r="AD1192" s="115"/>
      <c r="AE1192" s="115"/>
      <c r="AF1192" s="115"/>
      <c r="AG1192" s="122"/>
      <c r="AH1192" s="122"/>
      <c r="AI1192" s="122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115"/>
      <c r="AX1192" s="26"/>
      <c r="AY1192" s="13"/>
    </row>
    <row r="1193" spans="1:51" x14ac:dyDescent="0.4">
      <c r="AX1193" s="26"/>
      <c r="AY1193" s="13"/>
    </row>
    <row r="1194" spans="1:51" x14ac:dyDescent="0.4"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22"/>
      <c r="AH1194" s="122"/>
      <c r="AI1194" s="122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115"/>
      <c r="AX1194" s="26"/>
      <c r="AY1194" s="15"/>
    </row>
    <row r="1195" spans="1:51" x14ac:dyDescent="0.4"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22"/>
      <c r="AH1195" s="122"/>
      <c r="AI1195" s="122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115"/>
      <c r="AW1195" s="115"/>
      <c r="AX1195" s="26"/>
      <c r="AY1195" s="15"/>
    </row>
    <row r="1196" spans="1:51" x14ac:dyDescent="0.4"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22"/>
      <c r="AH1196" s="122"/>
      <c r="AI1196" s="122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115"/>
      <c r="AT1196" s="115"/>
      <c r="AU1196" s="115"/>
      <c r="AV1196" s="115"/>
      <c r="AW1196" s="115"/>
      <c r="AX1196" s="26"/>
      <c r="AY1196" s="15"/>
    </row>
    <row r="1197" spans="1:51" x14ac:dyDescent="0.4">
      <c r="AX1197" s="26"/>
      <c r="AY1197" s="13"/>
    </row>
    <row r="1198" spans="1:51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22"/>
      <c r="AH1198" s="122"/>
      <c r="AI1198" s="122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115"/>
      <c r="AT1198" s="115"/>
      <c r="AU1198" s="115"/>
      <c r="AV1198" s="115"/>
      <c r="AW1198" s="115"/>
      <c r="AX1198" s="26"/>
      <c r="AY1198" s="15"/>
    </row>
    <row r="1199" spans="1:51" x14ac:dyDescent="0.4">
      <c r="AX1199" s="26"/>
      <c r="AY1199" s="15"/>
    </row>
    <row r="1200" spans="1:51" x14ac:dyDescent="0.4">
      <c r="AX1200" s="26"/>
      <c r="AY1200" s="15"/>
    </row>
    <row r="1201" spans="3:51" x14ac:dyDescent="0.4"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22"/>
      <c r="AH1201" s="122"/>
      <c r="AI1201" s="122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115"/>
      <c r="AU1201" s="115"/>
      <c r="AV1201" s="115"/>
      <c r="AW1201" s="115"/>
      <c r="AX1201" s="26"/>
      <c r="AY1201" s="15"/>
    </row>
    <row r="1202" spans="3:51" x14ac:dyDescent="0.4"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22"/>
      <c r="AH1202" s="122"/>
      <c r="AI1202" s="122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115"/>
      <c r="AW1202" s="115"/>
      <c r="AX1202" s="26"/>
      <c r="AY1202" s="15"/>
    </row>
    <row r="1203" spans="3:51" x14ac:dyDescent="0.4">
      <c r="AX1203" s="26"/>
      <c r="AY1203" s="15"/>
    </row>
    <row r="1204" spans="3:51" x14ac:dyDescent="0.4">
      <c r="Z1204" s="115"/>
      <c r="AA1204" s="115"/>
      <c r="AB1204" s="115"/>
      <c r="AC1204" s="115"/>
      <c r="AD1204" s="115"/>
      <c r="AE1204" s="115"/>
      <c r="AF1204" s="115"/>
      <c r="AG1204" s="122"/>
      <c r="AH1204" s="122"/>
      <c r="AI1204" s="122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115"/>
      <c r="AX1204" s="26"/>
      <c r="AY1204" s="15"/>
    </row>
    <row r="1205" spans="3:51" x14ac:dyDescent="0.4"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22"/>
      <c r="AH1205" s="122"/>
      <c r="AI1205" s="122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115"/>
      <c r="AW1205" s="115"/>
      <c r="AX1205" s="26"/>
      <c r="AY1205" s="15"/>
    </row>
    <row r="1206" spans="3:51" x14ac:dyDescent="0.4"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22"/>
      <c r="AH1206" s="122"/>
      <c r="AI1206" s="122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115"/>
      <c r="AX1206" s="26"/>
      <c r="AY1206" s="15"/>
    </row>
    <row r="1207" spans="3:51" x14ac:dyDescent="0.4"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22"/>
      <c r="AH1207" s="122"/>
      <c r="AI1207" s="122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115"/>
      <c r="AW1207" s="115"/>
      <c r="AX1207" s="26"/>
      <c r="AY1207" s="15"/>
    </row>
    <row r="1208" spans="3:51" x14ac:dyDescent="0.4"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22"/>
      <c r="AH1208" s="122"/>
      <c r="AI1208" s="122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15"/>
      <c r="AW1208" s="115"/>
      <c r="AX1208" s="26"/>
      <c r="AY1208" s="15"/>
    </row>
    <row r="1209" spans="3:51" x14ac:dyDescent="0.4">
      <c r="AX1209" s="26"/>
      <c r="AY1209" s="15"/>
    </row>
    <row r="1210" spans="3:51" x14ac:dyDescent="0.4">
      <c r="AC1210" s="115"/>
      <c r="AD1210" s="115"/>
      <c r="AE1210" s="115"/>
      <c r="AF1210" s="115"/>
      <c r="AG1210" s="122"/>
      <c r="AH1210" s="122"/>
      <c r="AI1210" s="122"/>
      <c r="AJ1210" s="115"/>
      <c r="AK1210" s="115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115"/>
      <c r="AW1210" s="115"/>
      <c r="AX1210" s="17"/>
      <c r="AY1210" s="15"/>
    </row>
    <row r="1211" spans="3:51" x14ac:dyDescent="0.4">
      <c r="AX1211" s="26"/>
      <c r="AY1211" s="15"/>
    </row>
    <row r="1212" spans="3:51" x14ac:dyDescent="0.4">
      <c r="AA1212" s="115"/>
      <c r="AB1212" s="115"/>
      <c r="AC1212" s="115"/>
      <c r="AD1212" s="115"/>
      <c r="AE1212" s="115"/>
      <c r="AF1212" s="115"/>
      <c r="AG1212" s="122"/>
      <c r="AH1212" s="122"/>
      <c r="AI1212" s="122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115"/>
      <c r="AV1212" s="115"/>
      <c r="AW1212" s="115"/>
      <c r="AX1212" s="26"/>
      <c r="AY1212" s="15"/>
    </row>
    <row r="1213" spans="3:51" x14ac:dyDescent="0.4">
      <c r="AX1213" s="26"/>
      <c r="AY1213" s="15"/>
    </row>
    <row r="1214" spans="3:51" x14ac:dyDescent="0.4">
      <c r="AX1214" s="26"/>
      <c r="AY1214" s="15"/>
    </row>
    <row r="1215" spans="3:51" x14ac:dyDescent="0.4"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22"/>
      <c r="AH1215" s="122"/>
      <c r="AI1215" s="122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15"/>
      <c r="AX1215" s="26"/>
      <c r="AY1215" s="15"/>
    </row>
    <row r="1216" spans="3:51" x14ac:dyDescent="0.4"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22"/>
      <c r="AH1216" s="122"/>
      <c r="AI1216" s="122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115"/>
      <c r="AX1216" s="26"/>
      <c r="AY1216" s="15"/>
    </row>
    <row r="1217" spans="1:51" x14ac:dyDescent="0.4">
      <c r="A1217" s="115"/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22"/>
      <c r="AH1217" s="122"/>
      <c r="AI1217" s="122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115"/>
      <c r="AX1217" s="26"/>
      <c r="AY1217" s="15"/>
    </row>
    <row r="1218" spans="1:51" x14ac:dyDescent="0.4">
      <c r="A1218" s="115"/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22"/>
      <c r="AH1218" s="122"/>
      <c r="AI1218" s="122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15"/>
      <c r="AX1218" s="26"/>
      <c r="AY1218" s="15"/>
    </row>
    <row r="1219" spans="1:51" x14ac:dyDescent="0.4">
      <c r="AX1219" s="26"/>
      <c r="AY1219" s="15"/>
    </row>
    <row r="1220" spans="1:51" x14ac:dyDescent="0.4">
      <c r="AC1220" s="115"/>
      <c r="AD1220" s="115"/>
      <c r="AE1220" s="115"/>
      <c r="AF1220" s="115"/>
      <c r="AG1220" s="122"/>
      <c r="AH1220" s="122"/>
      <c r="AI1220" s="122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15"/>
      <c r="AT1220" s="115"/>
      <c r="AU1220" s="115"/>
      <c r="AV1220" s="115"/>
      <c r="AW1220" s="115"/>
      <c r="AX1220" s="17"/>
      <c r="AY1220" s="15"/>
    </row>
    <row r="1221" spans="1:51" x14ac:dyDescent="0.4">
      <c r="AX1221" s="26"/>
      <c r="AY1221" s="15"/>
    </row>
    <row r="1222" spans="1:51" x14ac:dyDescent="0.4"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22"/>
      <c r="AH1222" s="122"/>
      <c r="AI1222" s="122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26"/>
      <c r="AY1222" s="15"/>
    </row>
    <row r="1223" spans="1:51" x14ac:dyDescent="0.4"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22"/>
      <c r="AH1223" s="122"/>
      <c r="AI1223" s="122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26"/>
      <c r="AY1223" s="15"/>
    </row>
    <row r="1224" spans="1:51" x14ac:dyDescent="0.4"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22"/>
      <c r="AH1224" s="122"/>
      <c r="AI1224" s="122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7"/>
      <c r="AY1224" s="15"/>
    </row>
    <row r="1225" spans="1:51" x14ac:dyDescent="0.4">
      <c r="AX1225" s="26"/>
      <c r="AY1225" s="15"/>
    </row>
    <row r="1226" spans="1:51" x14ac:dyDescent="0.4"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22"/>
      <c r="AH1226" s="122"/>
      <c r="AI1226" s="122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26"/>
      <c r="AY1226" s="15"/>
    </row>
    <row r="1227" spans="1:51" x14ac:dyDescent="0.4"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22"/>
      <c r="AH1227" s="122"/>
      <c r="AI1227" s="122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7"/>
      <c r="AY1227" s="15"/>
    </row>
    <row r="1228" spans="1:51" x14ac:dyDescent="0.4">
      <c r="AX1228" s="26"/>
      <c r="AY1228" s="15"/>
    </row>
    <row r="1229" spans="1:51" x14ac:dyDescent="0.4">
      <c r="AC1229" s="115"/>
      <c r="AD1229" s="115"/>
      <c r="AE1229" s="115"/>
      <c r="AF1229" s="115"/>
      <c r="AG1229" s="122"/>
      <c r="AH1229" s="122"/>
      <c r="AI1229" s="122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7"/>
      <c r="AY1229" s="15"/>
    </row>
    <row r="1230" spans="1:51" x14ac:dyDescent="0.4"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22"/>
      <c r="AH1230" s="122"/>
      <c r="AI1230" s="122"/>
      <c r="AJ1230" s="115"/>
      <c r="AK1230" s="115"/>
      <c r="AL1230" s="115"/>
      <c r="AM1230" s="115"/>
      <c r="AN1230" s="115"/>
      <c r="AO1230" s="115"/>
      <c r="AP1230" s="115"/>
      <c r="AQ1230" s="115"/>
      <c r="AR1230" s="115"/>
      <c r="AS1230" s="115"/>
      <c r="AT1230" s="115"/>
      <c r="AU1230" s="115"/>
      <c r="AV1230" s="115"/>
      <c r="AW1230" s="115"/>
      <c r="AX1230" s="26"/>
      <c r="AY1230" s="15"/>
    </row>
    <row r="1231" spans="1:51" x14ac:dyDescent="0.4"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22"/>
      <c r="AH1231" s="122"/>
      <c r="AI1231" s="122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15"/>
      <c r="AX1231" s="17"/>
      <c r="AY1231" s="15"/>
    </row>
    <row r="1232" spans="1:51" x14ac:dyDescent="0.4">
      <c r="AX1232" s="26"/>
      <c r="AY1232" s="15"/>
    </row>
    <row r="1233" spans="3:51" x14ac:dyDescent="0.4">
      <c r="AX1233" s="26"/>
      <c r="AY1233" s="15"/>
    </row>
    <row r="1234" spans="3:51" x14ac:dyDescent="0.4">
      <c r="AB1234" s="115"/>
      <c r="AC1234" s="115"/>
      <c r="AD1234" s="115"/>
      <c r="AE1234" s="115"/>
      <c r="AF1234" s="115"/>
      <c r="AG1234" s="122"/>
      <c r="AH1234" s="122"/>
      <c r="AI1234" s="122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115"/>
      <c r="AX1234" s="26"/>
      <c r="AY1234" s="15"/>
    </row>
    <row r="1235" spans="3:51" x14ac:dyDescent="0.4">
      <c r="Z1235" s="115"/>
      <c r="AA1235" s="115"/>
      <c r="AB1235" s="115"/>
      <c r="AC1235" s="115"/>
      <c r="AD1235" s="115"/>
      <c r="AE1235" s="115"/>
      <c r="AF1235" s="115"/>
      <c r="AG1235" s="122"/>
      <c r="AH1235" s="122"/>
      <c r="AI1235" s="122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26"/>
      <c r="AY1235" s="15"/>
    </row>
    <row r="1236" spans="3:51" x14ac:dyDescent="0.4">
      <c r="Z1236" s="115"/>
      <c r="AA1236" s="115"/>
      <c r="AB1236" s="115"/>
      <c r="AC1236" s="115"/>
      <c r="AD1236" s="115"/>
      <c r="AE1236" s="115"/>
      <c r="AF1236" s="115"/>
      <c r="AG1236" s="122"/>
      <c r="AH1236" s="122"/>
      <c r="AI1236" s="122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15"/>
      <c r="AW1236" s="115"/>
      <c r="AX1236" s="26"/>
      <c r="AY1236" s="15"/>
    </row>
    <row r="1237" spans="3:51" x14ac:dyDescent="0.4"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22"/>
      <c r="AH1237" s="122"/>
      <c r="AI1237" s="122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15"/>
      <c r="AT1237" s="115"/>
      <c r="AU1237" s="115"/>
      <c r="AV1237" s="115"/>
      <c r="AW1237" s="115"/>
      <c r="AX1237" s="26"/>
      <c r="AY1237" s="15"/>
    </row>
    <row r="1238" spans="3:51" x14ac:dyDescent="0.4"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22"/>
      <c r="AH1238" s="122"/>
      <c r="AI1238" s="122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115"/>
      <c r="AX1238" s="26"/>
      <c r="AY1238" s="15"/>
    </row>
    <row r="1239" spans="3:51" x14ac:dyDescent="0.4">
      <c r="AX1239" s="26"/>
      <c r="AY1239" s="15"/>
    </row>
    <row r="1240" spans="3:51" x14ac:dyDescent="0.4">
      <c r="AB1240" s="115"/>
      <c r="AC1240" s="115"/>
      <c r="AD1240" s="115"/>
      <c r="AE1240" s="115"/>
      <c r="AF1240" s="115"/>
      <c r="AG1240" s="122"/>
      <c r="AH1240" s="122"/>
      <c r="AI1240" s="122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26"/>
      <c r="AY1240" s="15"/>
    </row>
    <row r="1241" spans="3:51" x14ac:dyDescent="0.4">
      <c r="AX1241" s="26"/>
      <c r="AY1241" s="15"/>
    </row>
    <row r="1242" spans="3:51" x14ac:dyDescent="0.4">
      <c r="AC1242" s="115"/>
      <c r="AD1242" s="115"/>
      <c r="AE1242" s="115"/>
      <c r="AF1242" s="115"/>
      <c r="AG1242" s="122"/>
      <c r="AH1242" s="122"/>
      <c r="AI1242" s="122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7"/>
      <c r="AY1242" s="15"/>
    </row>
    <row r="1243" spans="3:51" x14ac:dyDescent="0.4">
      <c r="AB1243" s="115"/>
      <c r="AC1243" s="115"/>
      <c r="AD1243" s="115"/>
      <c r="AE1243" s="115"/>
      <c r="AF1243" s="115"/>
      <c r="AG1243" s="122"/>
      <c r="AH1243" s="122"/>
      <c r="AI1243" s="122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26"/>
      <c r="AY1243" s="15"/>
    </row>
    <row r="1244" spans="3:51" x14ac:dyDescent="0.4"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22"/>
      <c r="AH1244" s="122"/>
      <c r="AI1244" s="122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26"/>
      <c r="AY1244" s="15"/>
    </row>
    <row r="1245" spans="3:51" x14ac:dyDescent="0.4"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22"/>
      <c r="AH1245" s="122"/>
      <c r="AI1245" s="122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15"/>
      <c r="AT1245" s="115"/>
      <c r="AU1245" s="115"/>
      <c r="AV1245" s="115"/>
      <c r="AW1245" s="115"/>
      <c r="AX1245" s="17"/>
      <c r="AY1245" s="15"/>
    </row>
    <row r="1246" spans="3:51" x14ac:dyDescent="0.4">
      <c r="AX1246" s="26"/>
      <c r="AY1246" s="15"/>
    </row>
    <row r="1247" spans="3:51" x14ac:dyDescent="0.4">
      <c r="AC1247" s="115"/>
      <c r="AD1247" s="115"/>
      <c r="AE1247" s="115"/>
      <c r="AF1247" s="115"/>
      <c r="AG1247" s="122"/>
      <c r="AH1247" s="122"/>
      <c r="AI1247" s="122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7"/>
      <c r="AY1247" s="15"/>
    </row>
    <row r="1248" spans="3:51" x14ac:dyDescent="0.4">
      <c r="AB1248" s="115"/>
      <c r="AC1248" s="115"/>
      <c r="AD1248" s="115"/>
      <c r="AE1248" s="115"/>
      <c r="AF1248" s="115"/>
      <c r="AG1248" s="122"/>
      <c r="AH1248" s="122"/>
      <c r="AI1248" s="122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26"/>
      <c r="AY1248" s="15"/>
    </row>
    <row r="1249" spans="4:51" x14ac:dyDescent="0.4">
      <c r="AB1249" s="115"/>
      <c r="AC1249" s="115"/>
      <c r="AD1249" s="115"/>
      <c r="AE1249" s="115"/>
      <c r="AF1249" s="115"/>
      <c r="AG1249" s="122"/>
      <c r="AH1249" s="122"/>
      <c r="AI1249" s="122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7"/>
      <c r="AY1249" s="15"/>
    </row>
    <row r="1250" spans="4:51" x14ac:dyDescent="0.4">
      <c r="AB1250" s="115"/>
      <c r="AC1250" s="115"/>
      <c r="AD1250" s="115"/>
      <c r="AE1250" s="115"/>
      <c r="AF1250" s="115"/>
      <c r="AG1250" s="122"/>
      <c r="AH1250" s="122"/>
      <c r="AI1250" s="122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7"/>
      <c r="AY1250" s="15"/>
    </row>
    <row r="1251" spans="4:51" x14ac:dyDescent="0.4"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22"/>
      <c r="AH1251" s="122"/>
      <c r="AI1251" s="122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26"/>
      <c r="AY1251" s="15"/>
    </row>
    <row r="1252" spans="4:51" x14ac:dyDescent="0.4"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22"/>
      <c r="AH1252" s="122"/>
      <c r="AI1252" s="122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26"/>
      <c r="AY1252" s="15"/>
    </row>
    <row r="1253" spans="4:51" x14ac:dyDescent="0.4"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22"/>
      <c r="AH1253" s="122"/>
      <c r="AI1253" s="122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26"/>
      <c r="AY1253" s="15"/>
    </row>
    <row r="1254" spans="4:51" x14ac:dyDescent="0.4"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22"/>
      <c r="AH1254" s="122"/>
      <c r="AI1254" s="122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115"/>
      <c r="AX1254" s="26"/>
      <c r="AY1254" s="15"/>
    </row>
    <row r="1255" spans="4:51" x14ac:dyDescent="0.4"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22"/>
      <c r="AH1255" s="122"/>
      <c r="AI1255" s="122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15"/>
      <c r="AT1255" s="115"/>
      <c r="AU1255" s="115"/>
      <c r="AV1255" s="115"/>
      <c r="AW1255" s="115"/>
      <c r="AX1255" s="26"/>
      <c r="AY1255" s="15"/>
    </row>
    <row r="1256" spans="4:51" x14ac:dyDescent="0.4"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22"/>
      <c r="AH1256" s="122"/>
      <c r="AI1256" s="122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7"/>
      <c r="AY1256" s="15"/>
    </row>
    <row r="1257" spans="4:51" x14ac:dyDescent="0.4">
      <c r="AX1257" s="26"/>
      <c r="AY1257" s="15"/>
    </row>
    <row r="1258" spans="4:51" x14ac:dyDescent="0.4">
      <c r="AB1258" s="115"/>
      <c r="AC1258" s="115"/>
      <c r="AD1258" s="115"/>
      <c r="AE1258" s="115"/>
      <c r="AF1258" s="115"/>
      <c r="AG1258" s="122"/>
      <c r="AH1258" s="122"/>
      <c r="AI1258" s="122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15"/>
      <c r="AX1258" s="17"/>
      <c r="AY1258" s="13"/>
    </row>
    <row r="1259" spans="4:51" x14ac:dyDescent="0.4">
      <c r="AB1259" s="115"/>
      <c r="AC1259" s="115"/>
      <c r="AD1259" s="115"/>
      <c r="AE1259" s="115"/>
      <c r="AF1259" s="115"/>
      <c r="AG1259" s="122"/>
      <c r="AH1259" s="122"/>
      <c r="AI1259" s="122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115"/>
      <c r="AV1259" s="115"/>
      <c r="AW1259" s="115"/>
      <c r="AX1259" s="17"/>
      <c r="AY1259" s="13"/>
    </row>
    <row r="1260" spans="4:51" x14ac:dyDescent="0.4">
      <c r="Z1260" s="115"/>
      <c r="AA1260" s="115"/>
      <c r="AB1260" s="115"/>
      <c r="AC1260" s="115"/>
      <c r="AD1260" s="115"/>
      <c r="AE1260" s="115"/>
      <c r="AF1260" s="115"/>
      <c r="AG1260" s="122"/>
      <c r="AH1260" s="122"/>
      <c r="AI1260" s="122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26"/>
      <c r="AY1260" s="13"/>
    </row>
    <row r="1261" spans="4:51" x14ac:dyDescent="0.4">
      <c r="Z1261" s="115"/>
      <c r="AA1261" s="115"/>
      <c r="AB1261" s="115"/>
      <c r="AC1261" s="115"/>
      <c r="AD1261" s="115"/>
      <c r="AE1261" s="115"/>
      <c r="AF1261" s="115"/>
      <c r="AG1261" s="122"/>
      <c r="AH1261" s="122"/>
      <c r="AI1261" s="122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7"/>
      <c r="AY1261" s="13"/>
    </row>
    <row r="1262" spans="4:51" x14ac:dyDescent="0.4">
      <c r="AX1262" s="26"/>
      <c r="AY1262" s="13"/>
    </row>
    <row r="1263" spans="4:51" x14ac:dyDescent="0.4">
      <c r="AA1263" s="115"/>
      <c r="AB1263" s="115"/>
      <c r="AC1263" s="115"/>
      <c r="AD1263" s="115"/>
      <c r="AE1263" s="115"/>
      <c r="AF1263" s="115"/>
      <c r="AG1263" s="122"/>
      <c r="AH1263" s="122"/>
      <c r="AI1263" s="122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7"/>
      <c r="AY1263" s="13"/>
    </row>
    <row r="1264" spans="4:51" x14ac:dyDescent="0.4">
      <c r="AX1264" s="26"/>
      <c r="AY1264" s="13"/>
    </row>
    <row r="1265" spans="3:51" x14ac:dyDescent="0.4">
      <c r="AX1265" s="26"/>
      <c r="AY1265" s="13"/>
    </row>
    <row r="1266" spans="3:51" x14ac:dyDescent="0.4"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22"/>
      <c r="AH1266" s="122"/>
      <c r="AI1266" s="122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26"/>
      <c r="AY1266" s="13"/>
    </row>
    <row r="1267" spans="3:51" x14ac:dyDescent="0.4"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22"/>
      <c r="AH1267" s="122"/>
      <c r="AI1267" s="122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115"/>
      <c r="AX1267" s="26"/>
      <c r="AY1267" s="13"/>
    </row>
    <row r="1268" spans="3:51" x14ac:dyDescent="0.4">
      <c r="AX1268" s="26"/>
      <c r="AY1268" s="13"/>
    </row>
    <row r="1269" spans="3:51" x14ac:dyDescent="0.4">
      <c r="AX1269" s="26"/>
      <c r="AY1269" s="13"/>
    </row>
    <row r="1270" spans="3:51" x14ac:dyDescent="0.4"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22"/>
      <c r="AH1270" s="122"/>
      <c r="AI1270" s="122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15"/>
      <c r="AV1270" s="115"/>
      <c r="AW1270" s="115"/>
      <c r="AX1270" s="26"/>
      <c r="AY1270" s="13"/>
    </row>
    <row r="1271" spans="3:51" x14ac:dyDescent="0.4">
      <c r="AX1271" s="26"/>
      <c r="AY1271" s="105"/>
    </row>
    <row r="1272" spans="3:51" x14ac:dyDescent="0.4"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22"/>
      <c r="AH1272" s="122"/>
      <c r="AI1272" s="122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15"/>
      <c r="AV1272" s="115"/>
      <c r="AW1272" s="115"/>
      <c r="AX1272" s="26"/>
      <c r="AY1272" s="15"/>
    </row>
    <row r="1273" spans="3:51" x14ac:dyDescent="0.4"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22"/>
      <c r="AH1273" s="122"/>
      <c r="AI1273" s="122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7"/>
      <c r="AY1273" s="15"/>
    </row>
    <row r="1274" spans="3:51" x14ac:dyDescent="0.4">
      <c r="AX1274" s="26"/>
      <c r="AY1274" s="15"/>
    </row>
    <row r="1275" spans="3:51" x14ac:dyDescent="0.4"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22"/>
      <c r="AH1275" s="122"/>
      <c r="AI1275" s="122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15"/>
      <c r="AX1275" s="26"/>
      <c r="AY1275" s="15"/>
    </row>
    <row r="1276" spans="3:51" x14ac:dyDescent="0.4"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22"/>
      <c r="AH1276" s="122"/>
      <c r="AI1276" s="122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115"/>
      <c r="AX1276" s="26"/>
      <c r="AY1276" s="15"/>
    </row>
    <row r="1277" spans="3:51" x14ac:dyDescent="0.4"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22"/>
      <c r="AH1277" s="122"/>
      <c r="AI1277" s="122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26"/>
      <c r="AY1277" s="13"/>
    </row>
    <row r="1278" spans="3:51" x14ac:dyDescent="0.4">
      <c r="AX1278" s="26"/>
      <c r="AY1278" s="15"/>
    </row>
    <row r="1279" spans="3:51" x14ac:dyDescent="0.4"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22"/>
      <c r="AH1279" s="122"/>
      <c r="AI1279" s="122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26"/>
      <c r="AY1279" s="15"/>
    </row>
    <row r="1280" spans="3:51" x14ac:dyDescent="0.4"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22"/>
      <c r="AH1280" s="122"/>
      <c r="AI1280" s="122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26"/>
      <c r="AY1280" s="15"/>
    </row>
    <row r="1281" spans="2:51" x14ac:dyDescent="0.4"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22"/>
      <c r="AH1281" s="122"/>
      <c r="AI1281" s="122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26"/>
      <c r="AY1281" s="15"/>
    </row>
    <row r="1282" spans="2:51" x14ac:dyDescent="0.4"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22"/>
      <c r="AH1282" s="122"/>
      <c r="AI1282" s="122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26"/>
      <c r="AY1282" s="15"/>
    </row>
    <row r="1283" spans="2:51" x14ac:dyDescent="0.4"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22"/>
      <c r="AH1283" s="122"/>
      <c r="AI1283" s="122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26"/>
      <c r="AY1283" s="15"/>
    </row>
    <row r="1284" spans="2:51" x14ac:dyDescent="0.4"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22"/>
      <c r="AH1284" s="122"/>
      <c r="AI1284" s="122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26"/>
      <c r="AY1284" s="15"/>
    </row>
    <row r="1285" spans="2:51" ht="19.5" customHeight="1" x14ac:dyDescent="0.4"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22"/>
      <c r="AH1285" s="122"/>
      <c r="AI1285" s="122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26"/>
      <c r="AY1285" s="15"/>
    </row>
    <row r="1286" spans="2:51" ht="19.5" customHeight="1" x14ac:dyDescent="0.4"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22"/>
      <c r="AH1286" s="122"/>
      <c r="AI1286" s="122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26"/>
      <c r="AY1286" s="15"/>
    </row>
    <row r="1287" spans="2:51" x14ac:dyDescent="0.4">
      <c r="AX1287" s="26"/>
      <c r="AY1287" s="15"/>
    </row>
    <row r="1288" spans="2:51" x14ac:dyDescent="0.4"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22"/>
      <c r="AH1288" s="122"/>
      <c r="AI1288" s="122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115"/>
      <c r="AW1288" s="115"/>
      <c r="AX1288" s="26"/>
      <c r="AY1288" s="15"/>
    </row>
    <row r="1289" spans="2:51" x14ac:dyDescent="0.4"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22"/>
      <c r="AH1289" s="122"/>
      <c r="AI1289" s="122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26"/>
      <c r="AY1289" s="15"/>
    </row>
    <row r="1290" spans="2:51" x14ac:dyDescent="0.4"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22"/>
      <c r="AH1290" s="122"/>
      <c r="AI1290" s="122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115"/>
      <c r="AW1290" s="115"/>
      <c r="AX1290" s="17"/>
      <c r="AY1290" s="15"/>
    </row>
    <row r="1291" spans="2:51" x14ac:dyDescent="0.4">
      <c r="AX1291" s="26"/>
      <c r="AY1291" s="15"/>
    </row>
    <row r="1292" spans="2:51" x14ac:dyDescent="0.4">
      <c r="AA1292" s="115"/>
      <c r="AB1292" s="115"/>
      <c r="AC1292" s="115"/>
      <c r="AD1292" s="115"/>
      <c r="AE1292" s="115"/>
      <c r="AF1292" s="115"/>
      <c r="AG1292" s="122"/>
      <c r="AH1292" s="122"/>
      <c r="AI1292" s="122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7"/>
      <c r="AY1292" s="15"/>
    </row>
    <row r="1293" spans="2:51" x14ac:dyDescent="0.4"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22"/>
      <c r="AH1293" s="122"/>
      <c r="AI1293" s="122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15"/>
      <c r="AW1293" s="115"/>
      <c r="AX1293" s="26"/>
      <c r="AY1293" s="15"/>
    </row>
    <row r="1294" spans="2:51" x14ac:dyDescent="0.4">
      <c r="AX1294" s="26"/>
      <c r="AY1294" s="15"/>
    </row>
    <row r="1295" spans="2:51" x14ac:dyDescent="0.4">
      <c r="AX1295" s="26"/>
      <c r="AY1295" s="15"/>
    </row>
    <row r="1296" spans="2:51" x14ac:dyDescent="0.4">
      <c r="Z1296" s="115"/>
      <c r="AA1296" s="115"/>
      <c r="AB1296" s="115"/>
      <c r="AC1296" s="115"/>
      <c r="AD1296" s="115"/>
      <c r="AE1296" s="115"/>
      <c r="AF1296" s="115"/>
      <c r="AG1296" s="122"/>
      <c r="AH1296" s="122"/>
      <c r="AI1296" s="122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26"/>
      <c r="AY1296" s="15"/>
    </row>
    <row r="1297" spans="1:51" x14ac:dyDescent="0.4">
      <c r="AX1297" s="26"/>
      <c r="AY1297" s="15"/>
    </row>
    <row r="1298" spans="1:51" x14ac:dyDescent="0.4">
      <c r="AA1298" s="115"/>
      <c r="AB1298" s="115"/>
      <c r="AC1298" s="115"/>
      <c r="AD1298" s="115"/>
      <c r="AE1298" s="115"/>
      <c r="AF1298" s="115"/>
      <c r="AG1298" s="122"/>
      <c r="AH1298" s="122"/>
      <c r="AI1298" s="122"/>
      <c r="AJ1298" s="115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15"/>
      <c r="AV1298" s="115"/>
      <c r="AW1298" s="115"/>
      <c r="AX1298" s="17"/>
      <c r="AY1298" s="15"/>
    </row>
    <row r="1299" spans="1:51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22"/>
      <c r="AH1299" s="122"/>
      <c r="AI1299" s="122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26"/>
      <c r="AY1299" s="15"/>
    </row>
    <row r="1300" spans="1:51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22"/>
      <c r="AH1300" s="122"/>
      <c r="AI1300" s="122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7"/>
      <c r="AY1300" s="13"/>
    </row>
    <row r="1301" spans="1:51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22"/>
      <c r="AH1301" s="122"/>
      <c r="AI1301" s="122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7"/>
      <c r="AY1301" s="13"/>
    </row>
    <row r="1302" spans="1:51" x14ac:dyDescent="0.4">
      <c r="AX1302" s="26"/>
      <c r="AY1302" s="13"/>
    </row>
    <row r="1303" spans="1:51" x14ac:dyDescent="0.4"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22"/>
      <c r="AH1303" s="122"/>
      <c r="AI1303" s="122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26"/>
      <c r="AY1303" s="15"/>
    </row>
    <row r="1304" spans="1:51" x14ac:dyDescent="0.4"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22"/>
      <c r="AH1304" s="122"/>
      <c r="AI1304" s="122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26"/>
      <c r="AY1304" s="15"/>
    </row>
    <row r="1305" spans="1:51" x14ac:dyDescent="0.4">
      <c r="AX1305" s="26"/>
      <c r="AY1305" s="15"/>
    </row>
    <row r="1306" spans="1:51" x14ac:dyDescent="0.4"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22"/>
      <c r="AH1306" s="122"/>
      <c r="AI1306" s="122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26"/>
      <c r="AY1306" s="15"/>
    </row>
    <row r="1307" spans="1:51" x14ac:dyDescent="0.4"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22"/>
      <c r="AH1307" s="122"/>
      <c r="AI1307" s="122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26"/>
      <c r="AY1307" s="15"/>
    </row>
    <row r="1308" spans="1:51" x14ac:dyDescent="0.4"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22"/>
      <c r="AH1308" s="122"/>
      <c r="AI1308" s="122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26"/>
      <c r="AY1308" s="15"/>
    </row>
    <row r="1309" spans="1:51" x14ac:dyDescent="0.4"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22"/>
      <c r="AH1309" s="122"/>
      <c r="AI1309" s="122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26"/>
      <c r="AY1309" s="15"/>
    </row>
    <row r="1310" spans="1:51" x14ac:dyDescent="0.4">
      <c r="AX1310" s="26"/>
      <c r="AY1310" s="15"/>
    </row>
    <row r="1311" spans="1:51" x14ac:dyDescent="0.4"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22"/>
      <c r="AH1311" s="122"/>
      <c r="AI1311" s="122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15"/>
      <c r="AX1311" s="26"/>
      <c r="AY1311" s="15"/>
    </row>
    <row r="1312" spans="1:51" x14ac:dyDescent="0.4">
      <c r="AX1312" s="26"/>
      <c r="AY1312" s="15"/>
    </row>
    <row r="1313" spans="1:51" x14ac:dyDescent="0.4"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22"/>
      <c r="AH1313" s="122"/>
      <c r="AI1313" s="122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26"/>
      <c r="AY1313" s="15"/>
    </row>
    <row r="1314" spans="1:51" x14ac:dyDescent="0.4"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22"/>
      <c r="AH1314" s="122"/>
      <c r="AI1314" s="122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26"/>
      <c r="AY1314" s="15"/>
    </row>
    <row r="1315" spans="1:51" x14ac:dyDescent="0.4"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22"/>
      <c r="AH1315" s="122"/>
      <c r="AI1315" s="122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15"/>
      <c r="AX1315" s="17"/>
      <c r="AY1315" s="15"/>
    </row>
    <row r="1316" spans="1:51" x14ac:dyDescent="0.4">
      <c r="AX1316" s="26"/>
      <c r="AY1316" s="15"/>
    </row>
    <row r="1317" spans="1:51" x14ac:dyDescent="0.4">
      <c r="AX1317" s="26"/>
      <c r="AY1317" s="15"/>
    </row>
    <row r="1318" spans="1:51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22"/>
      <c r="AH1318" s="122"/>
      <c r="AI1318" s="122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26"/>
      <c r="AY1318" s="15"/>
    </row>
    <row r="1319" spans="1:51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22"/>
      <c r="AH1319" s="122"/>
      <c r="AI1319" s="122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7"/>
      <c r="AY1319" s="15"/>
    </row>
    <row r="1320" spans="1:51" x14ac:dyDescent="0.4">
      <c r="AX1320" s="26"/>
      <c r="AY1320" s="15"/>
    </row>
    <row r="1321" spans="1:51" ht="17.25" customHeight="1" x14ac:dyDescent="0.4"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22"/>
      <c r="AH1321" s="122"/>
      <c r="AI1321" s="122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26"/>
      <c r="AY1321" s="15"/>
    </row>
    <row r="1322" spans="1:51" x14ac:dyDescent="0.4">
      <c r="AX1322" s="26"/>
      <c r="AY1322" s="15"/>
    </row>
    <row r="1323" spans="1:51" x14ac:dyDescent="0.4">
      <c r="Z1323" s="115"/>
      <c r="AA1323" s="115"/>
      <c r="AB1323" s="115"/>
      <c r="AC1323" s="115"/>
      <c r="AD1323" s="115"/>
      <c r="AE1323" s="115"/>
      <c r="AF1323" s="115"/>
      <c r="AG1323" s="122"/>
      <c r="AH1323" s="122"/>
      <c r="AI1323" s="122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7"/>
      <c r="AY1323" s="15"/>
    </row>
    <row r="1324" spans="1:51" ht="16.5" customHeight="1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22"/>
      <c r="AH1324" s="122"/>
      <c r="AI1324" s="122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26"/>
      <c r="AY1324" s="15"/>
    </row>
    <row r="1325" spans="1:51" ht="22.5" customHeight="1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22"/>
      <c r="AH1325" s="122"/>
      <c r="AI1325" s="122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26"/>
      <c r="AY1325" s="15"/>
    </row>
    <row r="1326" spans="1:51" x14ac:dyDescent="0.4">
      <c r="AX1326" s="26"/>
      <c r="AY1326" s="15"/>
    </row>
    <row r="1327" spans="1:51" x14ac:dyDescent="0.4">
      <c r="AX1327" s="26"/>
      <c r="AY1327" s="105"/>
    </row>
    <row r="1328" spans="1:51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22"/>
      <c r="AH1328" s="122"/>
      <c r="AI1328" s="122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26"/>
      <c r="AY1328" s="15"/>
    </row>
    <row r="1329" spans="1:51" x14ac:dyDescent="0.4">
      <c r="AX1329" s="26"/>
      <c r="AY1329" s="15"/>
    </row>
    <row r="1330" spans="1:51" x14ac:dyDescent="0.4">
      <c r="AX1330" s="26"/>
      <c r="AY1330" s="15"/>
    </row>
    <row r="1331" spans="1:51" x14ac:dyDescent="0.4">
      <c r="AX1331" s="26"/>
      <c r="AY1331" s="15"/>
    </row>
    <row r="1332" spans="1:51" x14ac:dyDescent="0.4">
      <c r="AX1332" s="26"/>
      <c r="AY1332" s="15"/>
    </row>
    <row r="1333" spans="1:51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22"/>
      <c r="AH1333" s="122"/>
      <c r="AI1333" s="122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26"/>
      <c r="AY1333" s="15"/>
    </row>
    <row r="1334" spans="1:51" x14ac:dyDescent="0.4">
      <c r="AX1334" s="26"/>
      <c r="AY1334" s="15"/>
    </row>
    <row r="1335" spans="1:51" x14ac:dyDescent="0.4">
      <c r="AX1335" s="26"/>
      <c r="AY1335" s="15"/>
    </row>
    <row r="1336" spans="1:51" x14ac:dyDescent="0.4">
      <c r="AX1336" s="26"/>
      <c r="AY1336" s="15"/>
    </row>
    <row r="1337" spans="1:51" x14ac:dyDescent="0.4">
      <c r="AX1337" s="26"/>
      <c r="AY1337" s="15"/>
    </row>
    <row r="1338" spans="1:51" ht="18.75" customHeight="1" x14ac:dyDescent="0.4">
      <c r="B1338" s="115"/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22"/>
      <c r="AH1338" s="122"/>
      <c r="AI1338" s="122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26"/>
      <c r="AY1338" s="15"/>
    </row>
    <row r="1339" spans="1:51" x14ac:dyDescent="0.4">
      <c r="AX1339" s="26"/>
      <c r="AY1339" s="15"/>
    </row>
    <row r="1340" spans="1:51" x14ac:dyDescent="0.4">
      <c r="AX1340" s="26"/>
      <c r="AY1340" s="15"/>
    </row>
    <row r="1341" spans="1:51" x14ac:dyDescent="0.4"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22"/>
      <c r="AH1341" s="122"/>
      <c r="AI1341" s="122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15"/>
      <c r="AX1341" s="26"/>
      <c r="AY1341" s="15"/>
    </row>
    <row r="1342" spans="1:51" x14ac:dyDescent="0.4">
      <c r="A1342" s="115"/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22"/>
      <c r="AH1342" s="122"/>
      <c r="AI1342" s="122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26"/>
      <c r="AY1342" s="15"/>
    </row>
    <row r="1343" spans="1:51" x14ac:dyDescent="0.4">
      <c r="AX1343" s="26"/>
      <c r="AY1343" s="15"/>
    </row>
    <row r="1344" spans="1:51" x14ac:dyDescent="0.4">
      <c r="Z1344" s="115"/>
      <c r="AA1344" s="115"/>
      <c r="AB1344" s="115"/>
      <c r="AC1344" s="115"/>
      <c r="AD1344" s="115"/>
      <c r="AE1344" s="115"/>
      <c r="AF1344" s="115"/>
      <c r="AG1344" s="122"/>
      <c r="AH1344" s="122"/>
      <c r="AI1344" s="122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7"/>
      <c r="AY1344" s="15"/>
    </row>
    <row r="1345" spans="1:51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22"/>
      <c r="AH1345" s="122"/>
      <c r="AI1345" s="122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26"/>
      <c r="AY1345" s="15"/>
    </row>
    <row r="1346" spans="1:51" x14ac:dyDescent="0.4">
      <c r="AX1346" s="26"/>
      <c r="AY1346" s="15"/>
    </row>
    <row r="1347" spans="1:51" x14ac:dyDescent="0.4">
      <c r="Z1347" s="115"/>
      <c r="AA1347" s="115"/>
      <c r="AB1347" s="115"/>
      <c r="AC1347" s="115"/>
      <c r="AD1347" s="115"/>
      <c r="AE1347" s="115"/>
      <c r="AF1347" s="115"/>
      <c r="AG1347" s="122"/>
      <c r="AH1347" s="122"/>
      <c r="AI1347" s="122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7"/>
      <c r="AY1347" s="15"/>
    </row>
    <row r="1348" spans="1:51" x14ac:dyDescent="0.4">
      <c r="AX1348" s="26"/>
      <c r="AY1348" s="15"/>
    </row>
    <row r="1349" spans="1:51" x14ac:dyDescent="0.4"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22"/>
      <c r="AH1349" s="122"/>
      <c r="AI1349" s="122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26"/>
      <c r="AY1349" s="15"/>
    </row>
    <row r="1350" spans="1:51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22"/>
      <c r="AH1350" s="122"/>
      <c r="AI1350" s="122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26"/>
      <c r="AY1350" s="15"/>
    </row>
    <row r="1351" spans="1:51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22"/>
      <c r="AH1351" s="122"/>
      <c r="AI1351" s="122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26"/>
      <c r="AY1351" s="15"/>
    </row>
    <row r="1352" spans="1:51" x14ac:dyDescent="0.4">
      <c r="AX1352" s="26"/>
      <c r="AY1352" s="15"/>
    </row>
    <row r="1353" spans="1:51" x14ac:dyDescent="0.4">
      <c r="B1353" s="115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22"/>
      <c r="AH1353" s="122"/>
      <c r="AI1353" s="122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26"/>
      <c r="AY1353" s="15"/>
    </row>
    <row r="1354" spans="1:51" x14ac:dyDescent="0.4">
      <c r="AX1354" s="26"/>
      <c r="AY1354" s="15"/>
    </row>
    <row r="1355" spans="1:51" x14ac:dyDescent="0.4"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22"/>
      <c r="AH1355" s="122"/>
      <c r="AI1355" s="122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26"/>
      <c r="AY1355" s="15"/>
    </row>
    <row r="1356" spans="1:51" x14ac:dyDescent="0.4">
      <c r="AX1356" s="26"/>
      <c r="AY1356" s="15"/>
    </row>
    <row r="1357" spans="1:51" x14ac:dyDescent="0.4">
      <c r="AX1357" s="26"/>
      <c r="AY1357" s="15"/>
    </row>
    <row r="1358" spans="1:51" x14ac:dyDescent="0.4">
      <c r="AX1358" s="26"/>
      <c r="AY1358" s="15"/>
    </row>
    <row r="1359" spans="1:51" x14ac:dyDescent="0.4">
      <c r="AX1359" s="26"/>
      <c r="AY1359" s="15"/>
    </row>
    <row r="1360" spans="1:51" x14ac:dyDescent="0.4">
      <c r="AX1360" s="26"/>
      <c r="AY1360" s="15"/>
    </row>
    <row r="1361" spans="1:51" x14ac:dyDescent="0.4">
      <c r="AX1361" s="26"/>
      <c r="AY1361" s="15"/>
    </row>
    <row r="1362" spans="1:51" x14ac:dyDescent="0.4">
      <c r="A1362" s="115"/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22"/>
      <c r="AH1362" s="122"/>
      <c r="AI1362" s="122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26"/>
      <c r="AY1362" s="15"/>
    </row>
    <row r="1363" spans="1:51" x14ac:dyDescent="0.4">
      <c r="AX1363" s="26"/>
      <c r="AY1363" s="15"/>
    </row>
    <row r="1364" spans="1:51" x14ac:dyDescent="0.4">
      <c r="AX1364" s="26"/>
      <c r="AY1364" s="15"/>
    </row>
    <row r="1365" spans="1:51" x14ac:dyDescent="0.4">
      <c r="AX1365" s="26"/>
      <c r="AY1365" s="15"/>
    </row>
    <row r="1366" spans="1:51" x14ac:dyDescent="0.4">
      <c r="AX1366" s="26"/>
      <c r="AY1366" s="15"/>
    </row>
    <row r="1367" spans="1:51" x14ac:dyDescent="0.4">
      <c r="AX1367" s="26"/>
      <c r="AY1367" s="15"/>
    </row>
    <row r="1368" spans="1:51" x14ac:dyDescent="0.4">
      <c r="Z1368" s="115"/>
      <c r="AA1368" s="115"/>
      <c r="AB1368" s="115"/>
      <c r="AC1368" s="115"/>
      <c r="AD1368" s="115"/>
      <c r="AE1368" s="115"/>
      <c r="AF1368" s="115"/>
      <c r="AG1368" s="122"/>
      <c r="AH1368" s="122"/>
      <c r="AI1368" s="122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7"/>
      <c r="AY1368" s="15"/>
    </row>
    <row r="1369" spans="1:51" x14ac:dyDescent="0.4">
      <c r="Z1369" s="115"/>
      <c r="AA1369" s="115"/>
      <c r="AB1369" s="115"/>
      <c r="AC1369" s="115"/>
      <c r="AD1369" s="115"/>
      <c r="AE1369" s="115"/>
      <c r="AF1369" s="115"/>
      <c r="AG1369" s="122"/>
      <c r="AH1369" s="122"/>
      <c r="AI1369" s="122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7"/>
      <c r="AY1369" s="15"/>
    </row>
    <row r="1370" spans="1:51" x14ac:dyDescent="0.4">
      <c r="AX1370" s="26"/>
      <c r="AY1370" s="15"/>
    </row>
    <row r="1371" spans="1:51" x14ac:dyDescent="0.4">
      <c r="AX1371" s="26"/>
      <c r="AY1371" s="15"/>
    </row>
    <row r="1372" spans="1:51" x14ac:dyDescent="0.4">
      <c r="A1372" s="115"/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22"/>
      <c r="AH1372" s="122"/>
      <c r="AI1372" s="122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26"/>
      <c r="AY1372" s="15"/>
    </row>
    <row r="1373" spans="1:51" x14ac:dyDescent="0.4">
      <c r="A1373" s="115"/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22"/>
      <c r="AH1373" s="122"/>
      <c r="AI1373" s="122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26"/>
      <c r="AY1373" s="13"/>
    </row>
    <row r="1374" spans="1:51" x14ac:dyDescent="0.4">
      <c r="AX1374" s="26"/>
      <c r="AY1374" s="15"/>
    </row>
    <row r="1375" spans="1:51" x14ac:dyDescent="0.4"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22"/>
      <c r="AH1375" s="122"/>
      <c r="AI1375" s="122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26"/>
      <c r="AY1375" s="15"/>
    </row>
    <row r="1376" spans="1:51" x14ac:dyDescent="0.4">
      <c r="AX1376" s="26"/>
      <c r="AY1376" s="15"/>
    </row>
    <row r="1377" spans="1:51" x14ac:dyDescent="0.4">
      <c r="AX1377" s="26"/>
      <c r="AY1377" s="15"/>
    </row>
    <row r="1378" spans="1:51" x14ac:dyDescent="0.4">
      <c r="A1378" s="115"/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22"/>
      <c r="AH1378" s="122"/>
      <c r="AI1378" s="122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26"/>
      <c r="AY1378" s="15"/>
    </row>
    <row r="1379" spans="1:51" x14ac:dyDescent="0.4">
      <c r="AX1379" s="26"/>
      <c r="AY1379" s="13"/>
    </row>
    <row r="1380" spans="1:51" x14ac:dyDescent="0.4">
      <c r="AX1380" s="26"/>
      <c r="AY1380" s="13"/>
    </row>
    <row r="1381" spans="1:51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22"/>
      <c r="AH1381" s="122"/>
      <c r="AI1381" s="122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26"/>
      <c r="AY1381" s="13"/>
    </row>
    <row r="1382" spans="1:51" x14ac:dyDescent="0.4">
      <c r="AX1382" s="26"/>
      <c r="AY1382" s="13"/>
    </row>
    <row r="1383" spans="1:51" x14ac:dyDescent="0.4">
      <c r="AX1383" s="26"/>
      <c r="AY1383" s="13"/>
    </row>
    <row r="1384" spans="1:51" x14ac:dyDescent="0.4">
      <c r="AX1384" s="26"/>
      <c r="AY1384" s="13"/>
    </row>
    <row r="1385" spans="1:51" x14ac:dyDescent="0.4">
      <c r="AX1385" s="26"/>
      <c r="AY1385" s="13"/>
    </row>
    <row r="1386" spans="1:51" x14ac:dyDescent="0.4">
      <c r="AX1386" s="26"/>
      <c r="AY1386" s="13"/>
    </row>
    <row r="1387" spans="1:51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22"/>
      <c r="AH1387" s="122"/>
      <c r="AI1387" s="122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26"/>
      <c r="AY1387" s="25"/>
    </row>
    <row r="1388" spans="1:51" x14ac:dyDescent="0.4">
      <c r="AX1388" s="26"/>
      <c r="AY1388" s="13"/>
    </row>
    <row r="1389" spans="1:51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22"/>
      <c r="AH1389" s="122"/>
      <c r="AI1389" s="122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26"/>
      <c r="AY1389" s="13"/>
    </row>
    <row r="1390" spans="1:51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22"/>
      <c r="AH1390" s="122"/>
      <c r="AI1390" s="122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26"/>
      <c r="AY1390" s="13"/>
    </row>
    <row r="1391" spans="1:51" x14ac:dyDescent="0.4">
      <c r="AX1391" s="26"/>
      <c r="AY1391" s="15"/>
    </row>
    <row r="1392" spans="1:51" x14ac:dyDescent="0.4">
      <c r="AX1392" s="26"/>
      <c r="AY1392" s="15"/>
    </row>
    <row r="1393" spans="2:51" x14ac:dyDescent="0.4">
      <c r="AX1393" s="26"/>
      <c r="AY1393" s="15"/>
    </row>
    <row r="1394" spans="2:51" x14ac:dyDescent="0.4">
      <c r="AX1394" s="26"/>
      <c r="AY1394" s="13"/>
    </row>
    <row r="1395" spans="2:51" x14ac:dyDescent="0.4">
      <c r="AX1395" s="26"/>
      <c r="AY1395" s="15"/>
    </row>
    <row r="1396" spans="2:51" x14ac:dyDescent="0.4"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22"/>
      <c r="AH1396" s="122"/>
      <c r="AI1396" s="122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7"/>
      <c r="AY1396" s="15"/>
    </row>
    <row r="1397" spans="2:51" x14ac:dyDescent="0.4">
      <c r="AX1397" s="26"/>
      <c r="AY1397" s="15"/>
    </row>
    <row r="1398" spans="2:51" x14ac:dyDescent="0.4"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22"/>
      <c r="AH1398" s="122"/>
      <c r="AI1398" s="122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7"/>
      <c r="AY1398" s="15"/>
    </row>
    <row r="1399" spans="2:51" x14ac:dyDescent="0.4">
      <c r="AX1399" s="26"/>
      <c r="AY1399" s="15"/>
    </row>
    <row r="1400" spans="2:51" x14ac:dyDescent="0.4">
      <c r="AX1400" s="26"/>
      <c r="AY1400" s="15"/>
    </row>
    <row r="1401" spans="2:51" x14ac:dyDescent="0.4">
      <c r="B1401" s="115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22"/>
      <c r="AH1401" s="122"/>
      <c r="AI1401" s="122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7"/>
      <c r="AY1401" s="15"/>
    </row>
    <row r="1402" spans="2:51" x14ac:dyDescent="0.4">
      <c r="AX1402" s="26"/>
      <c r="AY1402" s="15"/>
    </row>
    <row r="1403" spans="2:51" x14ac:dyDescent="0.4">
      <c r="AX1403" s="26"/>
      <c r="AY1403" s="15"/>
    </row>
    <row r="1404" spans="2:51" x14ac:dyDescent="0.4">
      <c r="AX1404" s="26"/>
      <c r="AY1404" s="105"/>
    </row>
    <row r="1405" spans="2:51" x14ac:dyDescent="0.4">
      <c r="AX1405" s="26"/>
      <c r="AY1405" s="15"/>
    </row>
    <row r="1406" spans="2:51" x14ac:dyDescent="0.4">
      <c r="AX1406" s="26"/>
      <c r="AY1406" s="15"/>
    </row>
    <row r="1407" spans="2:51" x14ac:dyDescent="0.4">
      <c r="AX1407" s="26"/>
      <c r="AY1407" s="15"/>
    </row>
    <row r="1408" spans="2:51" x14ac:dyDescent="0.4">
      <c r="AX1408" s="26"/>
      <c r="AY1408" s="15"/>
    </row>
    <row r="1409" spans="2:51" x14ac:dyDescent="0.4">
      <c r="AX1409" s="26"/>
      <c r="AY1409" s="15"/>
    </row>
    <row r="1410" spans="2:51" x14ac:dyDescent="0.4"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22"/>
      <c r="AH1410" s="122"/>
      <c r="AI1410" s="122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9"/>
      <c r="AY1410" s="119"/>
    </row>
    <row r="1411" spans="2:51" x14ac:dyDescent="0.4"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22"/>
      <c r="AH1411" s="122"/>
      <c r="AI1411" s="122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9"/>
      <c r="AY1411" s="119"/>
    </row>
  </sheetData>
  <sortState xmlns:xlrd2="http://schemas.microsoft.com/office/spreadsheetml/2017/richdata2" ref="O2:P209">
    <sortCondition ref="O2:O209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2025-04-24T07:01:36Z</cp:lastPrinted>
  <dcterms:created xsi:type="dcterms:W3CDTF">2020-05-08T06:29:04Z</dcterms:created>
  <dcterms:modified xsi:type="dcterms:W3CDTF">2025-04-24T22:56:29Z</dcterms:modified>
</cp:coreProperties>
</file>